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Display" sheetId="1" r:id="rId5"/>
    <sheet state="visible" name="Total Score" sheetId="2" r:id="rId6"/>
    <sheet state="visible" name="Session 1" sheetId="3" r:id="rId7"/>
    <sheet state="visible" name="Session 2" sheetId="4" r:id="rId8"/>
    <sheet state="visible" name="Session 3" sheetId="5" r:id="rId9"/>
    <sheet state="visible" name="Session 4" sheetId="6" r:id="rId10"/>
    <sheet state="visible" name="Session 5" sheetId="7" r:id="rId11"/>
    <sheet state="visible" name="Session 6" sheetId="8" r:id="rId12"/>
    <sheet state="visible" name="Session 7" sheetId="9" r:id="rId13"/>
    <sheet state="visible" name="Session 8" sheetId="10" r:id="rId14"/>
    <sheet state="visible" name="Session 9" sheetId="11" r:id="rId15"/>
    <sheet state="visible" name="Session 10" sheetId="12" r:id="rId16"/>
    <sheet state="visible" name="Calculations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insert 1 for a victory and 0 for a loss</t>
      </text>
    </comment>
    <comment authorId="0" ref="A30">
      <text>
        <t xml:space="preserve">insert 1 for a victory and 0 for a loss</t>
      </text>
    </comment>
    <comment authorId="0" ref="A60">
      <text>
        <t xml:space="preserve">insert 1 for a victory and 0 for a loss</t>
      </text>
    </comment>
    <comment authorId="0" ref="A25">
      <text>
        <t xml:space="preserve">insert 1 for a victory and 0 for a loss</t>
      </text>
    </comment>
    <comment authorId="0" ref="A55">
      <text>
        <t xml:space="preserve">insert 1 for a victory and 0 for a loss</t>
      </text>
    </comment>
    <comment authorId="0" ref="A20">
      <text>
        <t xml:space="preserve">insert 1 for a victory and 0 for a loss</t>
      </text>
    </comment>
    <comment authorId="0" ref="A50">
      <text>
        <t xml:space="preserve">insert 1 for a victory and 0 for a loss</t>
      </text>
    </comment>
    <comment authorId="0" ref="A80">
      <text>
        <t xml:space="preserve">insert 1 for a victory and 0 for a loss</t>
      </text>
    </comment>
    <comment authorId="0" ref="A15">
      <text>
        <t xml:space="preserve">insert 1 for a victory and 0 for a loss</t>
      </text>
    </comment>
    <comment authorId="0" ref="A45">
      <text>
        <t xml:space="preserve">insert 1 for a victory and 0 for a loss</t>
      </text>
    </comment>
    <comment authorId="0" ref="A75">
      <text>
        <t xml:space="preserve">insert 1 for a victory and 0 for a loss</t>
      </text>
    </comment>
    <comment authorId="0" ref="A10">
      <text>
        <t xml:space="preserve">insert 1 for a victory and 0 for a loss</t>
      </text>
    </comment>
    <comment authorId="0" ref="A40">
      <text>
        <t xml:space="preserve">insert 1 for a victory and 0 for a loss</t>
      </text>
    </comment>
    <comment authorId="0" ref="A6">
      <text>
        <t xml:space="preserve">Insert 1 for true and 0 for false</t>
      </text>
    </comment>
    <comment authorId="0" ref="A70">
      <text>
        <t xml:space="preserve">insert 1 for a victory and 0 for a loss</t>
      </text>
    </comment>
    <comment authorId="0" ref="A5">
      <text>
        <t xml:space="preserve">insert 1 for a victory and 0 for a loss</t>
      </text>
    </comment>
    <comment authorId="0" ref="A35">
      <text>
        <t xml:space="preserve">insert 1 for a victory and 0 for a loss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insert 1 for a victory and 0 for a loss</t>
      </text>
    </comment>
    <comment authorId="0" ref="A30">
      <text>
        <t xml:space="preserve">insert 1 for a victory and 0 for a loss</t>
      </text>
    </comment>
    <comment authorId="0" ref="A60">
      <text>
        <t xml:space="preserve">insert 1 for a victory and 0 for a loss</t>
      </text>
    </comment>
    <comment authorId="0" ref="A25">
      <text>
        <t xml:space="preserve">insert 1 for a victory and 0 for a loss</t>
      </text>
    </comment>
    <comment authorId="0" ref="A55">
      <text>
        <t xml:space="preserve">insert 1 for a victory and 0 for a loss</t>
      </text>
    </comment>
    <comment authorId="0" ref="A20">
      <text>
        <t xml:space="preserve">insert 1 for a victory and 0 for a loss</t>
      </text>
    </comment>
    <comment authorId="0" ref="A50">
      <text>
        <t xml:space="preserve">insert 1 for a victory and 0 for a loss</t>
      </text>
    </comment>
    <comment authorId="0" ref="A80">
      <text>
        <t xml:space="preserve">insert 1 for a victory and 0 for a loss</t>
      </text>
    </comment>
    <comment authorId="0" ref="A15">
      <text>
        <t xml:space="preserve">insert 1 for a victory and 0 for a loss</t>
      </text>
    </comment>
    <comment authorId="0" ref="A45">
      <text>
        <t xml:space="preserve">insert 1 for a victory and 0 for a loss</t>
      </text>
    </comment>
    <comment authorId="0" ref="A75">
      <text>
        <t xml:space="preserve">insert 1 for a victory and 0 for a loss</t>
      </text>
    </comment>
    <comment authorId="0" ref="A10">
      <text>
        <t xml:space="preserve">insert 1 for a victory and 0 for a loss</t>
      </text>
    </comment>
    <comment authorId="0" ref="A40">
      <text>
        <t xml:space="preserve">insert 1 for a victory and 0 for a loss</t>
      </text>
    </comment>
    <comment authorId="0" ref="A6">
      <text>
        <t xml:space="preserve">Insert 1 for true and 0 for false</t>
      </text>
    </comment>
    <comment authorId="0" ref="A70">
      <text>
        <t xml:space="preserve">insert 1 for a victory and 0 for a loss</t>
      </text>
    </comment>
    <comment authorId="0" ref="A5">
      <text>
        <t xml:space="preserve">insert 1 for a victory and 0 for a loss</t>
      </text>
    </comment>
    <comment authorId="0" ref="A35">
      <text>
        <t xml:space="preserve">insert 1 for a victory and 0 for a loss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insert 1 for a victory and 0 for a loss</t>
      </text>
    </comment>
    <comment authorId="0" ref="A30">
      <text>
        <t xml:space="preserve">insert 1 for a victory and 0 for a loss</t>
      </text>
    </comment>
    <comment authorId="0" ref="A60">
      <text>
        <t xml:space="preserve">insert 1 for a victory and 0 for a loss</t>
      </text>
    </comment>
    <comment authorId="0" ref="A25">
      <text>
        <t xml:space="preserve">insert 1 for a victory and 0 for a loss</t>
      </text>
    </comment>
    <comment authorId="0" ref="A55">
      <text>
        <t xml:space="preserve">insert 1 for a victory and 0 for a loss</t>
      </text>
    </comment>
    <comment authorId="0" ref="A20">
      <text>
        <t xml:space="preserve">insert 1 for a victory and 0 for a loss</t>
      </text>
    </comment>
    <comment authorId="0" ref="A50">
      <text>
        <t xml:space="preserve">insert 1 for a victory and 0 for a loss</t>
      </text>
    </comment>
    <comment authorId="0" ref="A80">
      <text>
        <t xml:space="preserve">insert 1 for a victory and 0 for a loss</t>
      </text>
    </comment>
    <comment authorId="0" ref="A15">
      <text>
        <t xml:space="preserve">insert 1 for a victory and 0 for a loss</t>
      </text>
    </comment>
    <comment authorId="0" ref="A45">
      <text>
        <t xml:space="preserve">insert 1 for a victory and 0 for a loss</t>
      </text>
    </comment>
    <comment authorId="0" ref="A75">
      <text>
        <t xml:space="preserve">insert 1 for a victory and 0 for a loss</t>
      </text>
    </comment>
    <comment authorId="0" ref="A10">
      <text>
        <t xml:space="preserve">insert 1 for a victory and 0 for a loss</t>
      </text>
    </comment>
    <comment authorId="0" ref="A40">
      <text>
        <t xml:space="preserve">insert 1 for a victory and 0 for a loss</t>
      </text>
    </comment>
    <comment authorId="0" ref="A6">
      <text>
        <t xml:space="preserve">Insert 1 for true and 0 for false</t>
      </text>
    </comment>
    <comment authorId="0" ref="A70">
      <text>
        <t xml:space="preserve">insert 1 for a victory and 0 for a loss</t>
      </text>
    </comment>
    <comment authorId="0" ref="A5">
      <text>
        <t xml:space="preserve">insert 1 for a victory and 0 for a loss</t>
      </text>
    </comment>
    <comment authorId="0" ref="A35">
      <text>
        <t xml:space="preserve">insert 1 for a victory and 0 for a loss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insert 1 for a victory and 0 for a loss</t>
      </text>
    </comment>
    <comment authorId="0" ref="A30">
      <text>
        <t xml:space="preserve">insert 1 for a victory and 0 for a loss</t>
      </text>
    </comment>
    <comment authorId="0" ref="A60">
      <text>
        <t xml:space="preserve">insert 1 for a victory and 0 for a loss</t>
      </text>
    </comment>
    <comment authorId="0" ref="A25">
      <text>
        <t xml:space="preserve">insert 1 for a victory and 0 for a loss</t>
      </text>
    </comment>
    <comment authorId="0" ref="A55">
      <text>
        <t xml:space="preserve">insert 1 for a victory and 0 for a loss</t>
      </text>
    </comment>
    <comment authorId="0" ref="A20">
      <text>
        <t xml:space="preserve">insert 1 for a victory and 0 for a loss</t>
      </text>
    </comment>
    <comment authorId="0" ref="A50">
      <text>
        <t xml:space="preserve">insert 1 for a victory and 0 for a loss</t>
      </text>
    </comment>
    <comment authorId="0" ref="A80">
      <text>
        <t xml:space="preserve">insert 1 for a victory and 0 for a loss</t>
      </text>
    </comment>
    <comment authorId="0" ref="A15">
      <text>
        <t xml:space="preserve">insert 1 for a victory and 0 for a loss</t>
      </text>
    </comment>
    <comment authorId="0" ref="A45">
      <text>
        <t xml:space="preserve">insert 1 for a victory and 0 for a loss</t>
      </text>
    </comment>
    <comment authorId="0" ref="A75">
      <text>
        <t xml:space="preserve">insert 1 for a victory and 0 for a loss</t>
      </text>
    </comment>
    <comment authorId="0" ref="A10">
      <text>
        <t xml:space="preserve">insert 1 for a victory and 0 for a loss</t>
      </text>
    </comment>
    <comment authorId="0" ref="A40">
      <text>
        <t xml:space="preserve">insert 1 for a victory and 0 for a loss</t>
      </text>
    </comment>
    <comment authorId="0" ref="A6">
      <text>
        <t xml:space="preserve">Insert 1 for true and 0 for false</t>
      </text>
    </comment>
    <comment authorId="0" ref="A70">
      <text>
        <t xml:space="preserve">insert 1 for a victory and 0 for a loss</t>
      </text>
    </comment>
    <comment authorId="0" ref="A5">
      <text>
        <t xml:space="preserve">insert 1 for a victory and 0 for a loss</t>
      </text>
    </comment>
    <comment authorId="0" ref="A35">
      <text>
        <t xml:space="preserve">insert 1 for a victory and 0 for a loss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insert 1 for a victory and 0 for a loss</t>
      </text>
    </comment>
    <comment authorId="0" ref="A30">
      <text>
        <t xml:space="preserve">insert 1 for a victory and 0 for a loss</t>
      </text>
    </comment>
    <comment authorId="0" ref="A60">
      <text>
        <t xml:space="preserve">insert 1 for a victory and 0 for a loss</t>
      </text>
    </comment>
    <comment authorId="0" ref="A25">
      <text>
        <t xml:space="preserve">insert 1 for a victory and 0 for a loss</t>
      </text>
    </comment>
    <comment authorId="0" ref="A55">
      <text>
        <t xml:space="preserve">insert 1 for a victory and 0 for a loss</t>
      </text>
    </comment>
    <comment authorId="0" ref="A20">
      <text>
        <t xml:space="preserve">insert 1 for a victory and 0 for a loss</t>
      </text>
    </comment>
    <comment authorId="0" ref="A50">
      <text>
        <t xml:space="preserve">insert 1 for a victory and 0 for a loss</t>
      </text>
    </comment>
    <comment authorId="0" ref="A80">
      <text>
        <t xml:space="preserve">insert 1 for a victory and 0 for a loss</t>
      </text>
    </comment>
    <comment authorId="0" ref="A15">
      <text>
        <t xml:space="preserve">insert 1 for a victory and 0 for a loss</t>
      </text>
    </comment>
    <comment authorId="0" ref="A45">
      <text>
        <t xml:space="preserve">insert 1 for a victory and 0 for a loss</t>
      </text>
    </comment>
    <comment authorId="0" ref="A75">
      <text>
        <t xml:space="preserve">insert 1 for a victory and 0 for a loss</t>
      </text>
    </comment>
    <comment authorId="0" ref="A10">
      <text>
        <t xml:space="preserve">insert 1 for a victory and 0 for a loss</t>
      </text>
    </comment>
    <comment authorId="0" ref="A40">
      <text>
        <t xml:space="preserve">insert 1 for a victory and 0 for a loss</t>
      </text>
    </comment>
    <comment authorId="0" ref="A6">
      <text>
        <t xml:space="preserve">Insert 1 for true and 0 for false</t>
      </text>
    </comment>
    <comment authorId="0" ref="A70">
      <text>
        <t xml:space="preserve">insert 1 for a victory and 0 for a loss</t>
      </text>
    </comment>
    <comment authorId="0" ref="A5">
      <text>
        <t xml:space="preserve">insert 1 for a victory and 0 for a loss</t>
      </text>
    </comment>
    <comment authorId="0" ref="A35">
      <text>
        <t xml:space="preserve">insert 1 for a victory and 0 for a loss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insert 1 for a victory and 0 for a loss</t>
      </text>
    </comment>
    <comment authorId="0" ref="A30">
      <text>
        <t xml:space="preserve">insert 1 for a victory and 0 for a loss</t>
      </text>
    </comment>
    <comment authorId="0" ref="A60">
      <text>
        <t xml:space="preserve">insert 1 for a victory and 0 for a loss</t>
      </text>
    </comment>
    <comment authorId="0" ref="A25">
      <text>
        <t xml:space="preserve">insert 1 for a victory and 0 for a loss</t>
      </text>
    </comment>
    <comment authorId="0" ref="A55">
      <text>
        <t xml:space="preserve">insert 1 for a victory and 0 for a loss</t>
      </text>
    </comment>
    <comment authorId="0" ref="A20">
      <text>
        <t xml:space="preserve">insert 1 for a victory and 0 for a loss</t>
      </text>
    </comment>
    <comment authorId="0" ref="A50">
      <text>
        <t xml:space="preserve">insert 1 for a victory and 0 for a loss</t>
      </text>
    </comment>
    <comment authorId="0" ref="A80">
      <text>
        <t xml:space="preserve">insert 1 for a victory and 0 for a loss</t>
      </text>
    </comment>
    <comment authorId="0" ref="A15">
      <text>
        <t xml:space="preserve">insert 1 for a victory and 0 for a loss</t>
      </text>
    </comment>
    <comment authorId="0" ref="A45">
      <text>
        <t xml:space="preserve">insert 1 for a victory and 0 for a loss</t>
      </text>
    </comment>
    <comment authorId="0" ref="A75">
      <text>
        <t xml:space="preserve">insert 1 for a victory and 0 for a loss</t>
      </text>
    </comment>
    <comment authorId="0" ref="A10">
      <text>
        <t xml:space="preserve">insert 1 for a victory and 0 for a loss</t>
      </text>
    </comment>
    <comment authorId="0" ref="A40">
      <text>
        <t xml:space="preserve">insert 1 for a victory and 0 for a loss</t>
      </text>
    </comment>
    <comment authorId="0" ref="A6">
      <text>
        <t xml:space="preserve">Insert 1 for true and 0 for false</t>
      </text>
    </comment>
    <comment authorId="0" ref="A70">
      <text>
        <t xml:space="preserve">insert 1 for a victory and 0 for a loss</t>
      </text>
    </comment>
    <comment authorId="0" ref="A5">
      <text>
        <t xml:space="preserve">insert 1 for a victory and 0 for a loss</t>
      </text>
    </comment>
    <comment authorId="0" ref="A35">
      <text>
        <t xml:space="preserve">insert 1 for a victory and 0 for a loss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insert 1 for a victory and 0 for a loss</t>
      </text>
    </comment>
    <comment authorId="0" ref="A30">
      <text>
        <t xml:space="preserve">insert 1 for a victory and 0 for a loss</t>
      </text>
    </comment>
    <comment authorId="0" ref="A60">
      <text>
        <t xml:space="preserve">insert 1 for a victory and 0 for a loss</t>
      </text>
    </comment>
    <comment authorId="0" ref="A25">
      <text>
        <t xml:space="preserve">insert 1 for a victory and 0 for a loss</t>
      </text>
    </comment>
    <comment authorId="0" ref="A55">
      <text>
        <t xml:space="preserve">insert 1 for a victory and 0 for a loss</t>
      </text>
    </comment>
    <comment authorId="0" ref="A20">
      <text>
        <t xml:space="preserve">insert 1 for a victory and 0 for a loss</t>
      </text>
    </comment>
    <comment authorId="0" ref="A50">
      <text>
        <t xml:space="preserve">insert 1 for a victory and 0 for a loss</t>
      </text>
    </comment>
    <comment authorId="0" ref="A80">
      <text>
        <t xml:space="preserve">insert 1 for a victory and 0 for a loss</t>
      </text>
    </comment>
    <comment authorId="0" ref="A15">
      <text>
        <t xml:space="preserve">insert 1 for a victory and 0 for a loss</t>
      </text>
    </comment>
    <comment authorId="0" ref="A45">
      <text>
        <t xml:space="preserve">insert 1 for a victory and 0 for a loss</t>
      </text>
    </comment>
    <comment authorId="0" ref="A75">
      <text>
        <t xml:space="preserve">insert 1 for a victory and 0 for a loss</t>
      </text>
    </comment>
    <comment authorId="0" ref="A10">
      <text>
        <t xml:space="preserve">insert 1 for a victory and 0 for a loss</t>
      </text>
    </comment>
    <comment authorId="0" ref="A40">
      <text>
        <t xml:space="preserve">insert 1 for a victory and 0 for a loss</t>
      </text>
    </comment>
    <comment authorId="0" ref="A6">
      <text>
        <t xml:space="preserve">Insert 1 for true and 0 for false</t>
      </text>
    </comment>
    <comment authorId="0" ref="A70">
      <text>
        <t xml:space="preserve">insert 1 for a victory and 0 for a loss</t>
      </text>
    </comment>
    <comment authorId="0" ref="A5">
      <text>
        <t xml:space="preserve">insert 1 for a victory and 0 for a loss</t>
      </text>
    </comment>
    <comment authorId="0" ref="A35">
      <text>
        <t xml:space="preserve">insert 1 for a victory and 0 for a loss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insert 1 for a victory and 0 for a loss</t>
      </text>
    </comment>
    <comment authorId="0" ref="A30">
      <text>
        <t xml:space="preserve">insert 1 for a victory and 0 for a loss</t>
      </text>
    </comment>
    <comment authorId="0" ref="A60">
      <text>
        <t xml:space="preserve">insert 1 for a victory and 0 for a loss</t>
      </text>
    </comment>
    <comment authorId="0" ref="A25">
      <text>
        <t xml:space="preserve">insert 1 for a victory and 0 for a loss</t>
      </text>
    </comment>
    <comment authorId="0" ref="A55">
      <text>
        <t xml:space="preserve">insert 1 for a victory and 0 for a loss</t>
      </text>
    </comment>
    <comment authorId="0" ref="A20">
      <text>
        <t xml:space="preserve">insert 1 for a victory and 0 for a loss</t>
      </text>
    </comment>
    <comment authorId="0" ref="A50">
      <text>
        <t xml:space="preserve">insert 1 for a victory and 0 for a loss</t>
      </text>
    </comment>
    <comment authorId="0" ref="A80">
      <text>
        <t xml:space="preserve">insert 1 for a victory and 0 for a loss</t>
      </text>
    </comment>
    <comment authorId="0" ref="A15">
      <text>
        <t xml:space="preserve">insert 1 for a victory and 0 for a loss</t>
      </text>
    </comment>
    <comment authorId="0" ref="A45">
      <text>
        <t xml:space="preserve">insert 1 for a victory and 0 for a loss</t>
      </text>
    </comment>
    <comment authorId="0" ref="A75">
      <text>
        <t xml:space="preserve">insert 1 for a victory and 0 for a loss</t>
      </text>
    </comment>
    <comment authorId="0" ref="A10">
      <text>
        <t xml:space="preserve">insert 1 for a victory and 0 for a loss</t>
      </text>
    </comment>
    <comment authorId="0" ref="A40">
      <text>
        <t xml:space="preserve">insert 1 for a victory and 0 for a loss</t>
      </text>
    </comment>
    <comment authorId="0" ref="A6">
      <text>
        <t xml:space="preserve">Insert 1 for true and 0 for false</t>
      </text>
    </comment>
    <comment authorId="0" ref="A70">
      <text>
        <t xml:space="preserve">insert 1 for a victory and 0 for a loss</t>
      </text>
    </comment>
    <comment authorId="0" ref="A5">
      <text>
        <t xml:space="preserve">insert 1 for a victory and 0 for a loss</t>
      </text>
    </comment>
    <comment authorId="0" ref="A35">
      <text>
        <t xml:space="preserve">insert 1 for a victory and 0 for a loss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insert 1 for a victory and 0 for a loss</t>
      </text>
    </comment>
    <comment authorId="0" ref="A30">
      <text>
        <t xml:space="preserve">insert 1 for a victory and 0 for a loss</t>
      </text>
    </comment>
    <comment authorId="0" ref="A60">
      <text>
        <t xml:space="preserve">insert 1 for a victory and 0 for a loss</t>
      </text>
    </comment>
    <comment authorId="0" ref="A25">
      <text>
        <t xml:space="preserve">insert 1 for a victory and 0 for a loss</t>
      </text>
    </comment>
    <comment authorId="0" ref="A55">
      <text>
        <t xml:space="preserve">insert 1 for a victory and 0 for a loss</t>
      </text>
    </comment>
    <comment authorId="0" ref="A20">
      <text>
        <t xml:space="preserve">insert 1 for a victory and 0 for a loss</t>
      </text>
    </comment>
    <comment authorId="0" ref="A50">
      <text>
        <t xml:space="preserve">insert 1 for a victory and 0 for a loss</t>
      </text>
    </comment>
    <comment authorId="0" ref="A80">
      <text>
        <t xml:space="preserve">insert 1 for a victory and 0 for a loss</t>
      </text>
    </comment>
    <comment authorId="0" ref="A15">
      <text>
        <t xml:space="preserve">insert 1 for a victory and 0 for a loss</t>
      </text>
    </comment>
    <comment authorId="0" ref="A45">
      <text>
        <t xml:space="preserve">insert 1 for a victory and 0 for a loss</t>
      </text>
    </comment>
    <comment authorId="0" ref="A75">
      <text>
        <t xml:space="preserve">insert 1 for a victory and 0 for a loss</t>
      </text>
    </comment>
    <comment authorId="0" ref="A10">
      <text>
        <t xml:space="preserve">insert 1 for a victory and 0 for a loss</t>
      </text>
    </comment>
    <comment authorId="0" ref="A40">
      <text>
        <t xml:space="preserve">insert 1 for a victory and 0 for a loss</t>
      </text>
    </comment>
    <comment authorId="0" ref="A6">
      <text>
        <t xml:space="preserve">Insert 1 for true and 0 for false</t>
      </text>
    </comment>
    <comment authorId="0" ref="A70">
      <text>
        <t xml:space="preserve">insert 1 for a victory and 0 for a loss</t>
      </text>
    </comment>
    <comment authorId="0" ref="A5">
      <text>
        <t xml:space="preserve">insert 1 for a victory and 0 for a loss</t>
      </text>
    </comment>
    <comment authorId="0" ref="A35">
      <text>
        <t xml:space="preserve">insert 1 for a victory and 0 for a loss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insert 1 for a victory and 0 for a loss</t>
      </text>
    </comment>
    <comment authorId="0" ref="A30">
      <text>
        <t xml:space="preserve">insert 1 for a victory and 0 for a loss</t>
      </text>
    </comment>
    <comment authorId="0" ref="A60">
      <text>
        <t xml:space="preserve">insert 1 for a victory and 0 for a loss</t>
      </text>
    </comment>
    <comment authorId="0" ref="A25">
      <text>
        <t xml:space="preserve">insert 1 for a victory and 0 for a loss</t>
      </text>
    </comment>
    <comment authorId="0" ref="A55">
      <text>
        <t xml:space="preserve">insert 1 for a victory and 0 for a loss</t>
      </text>
    </comment>
    <comment authorId="0" ref="A20">
      <text>
        <t xml:space="preserve">insert 1 for a victory and 0 for a loss</t>
      </text>
    </comment>
    <comment authorId="0" ref="A50">
      <text>
        <t xml:space="preserve">insert 1 for a victory and 0 for a loss</t>
      </text>
    </comment>
    <comment authorId="0" ref="A80">
      <text>
        <t xml:space="preserve">insert 1 for a victory and 0 for a loss</t>
      </text>
    </comment>
    <comment authorId="0" ref="A15">
      <text>
        <t xml:space="preserve">insert 1 for a victory and 0 for a loss</t>
      </text>
    </comment>
    <comment authorId="0" ref="A45">
      <text>
        <t xml:space="preserve">insert 1 for a victory and 0 for a loss</t>
      </text>
    </comment>
    <comment authorId="0" ref="A75">
      <text>
        <t xml:space="preserve">insert 1 for a victory and 0 for a loss</t>
      </text>
    </comment>
    <comment authorId="0" ref="A10">
      <text>
        <t xml:space="preserve">insert 1 for a victory and 0 for a loss</t>
      </text>
    </comment>
    <comment authorId="0" ref="A40">
      <text>
        <t xml:space="preserve">insert 1 for a victory and 0 for a loss</t>
      </text>
    </comment>
    <comment authorId="0" ref="A6">
      <text>
        <t xml:space="preserve">Insert 1 for true and 0 for false</t>
      </text>
    </comment>
    <comment authorId="0" ref="A70">
      <text>
        <t xml:space="preserve">insert 1 for a victory and 0 for a loss</t>
      </text>
    </comment>
    <comment authorId="0" ref="A5">
      <text>
        <t xml:space="preserve">insert 1 for a victory and 0 for a loss</t>
      </text>
    </comment>
    <comment authorId="0" ref="A35">
      <text>
        <t xml:space="preserve">insert 1 for a victory and 0 for a loss</t>
      </text>
    </comment>
  </commentList>
</comments>
</file>

<file path=xl/sharedStrings.xml><?xml version="1.0" encoding="utf-8"?>
<sst xmlns="http://schemas.openxmlformats.org/spreadsheetml/2006/main" count="405" uniqueCount="42">
  <si>
    <t xml:space="preserve">THE WINNER (so far) IS </t>
  </si>
  <si>
    <t>WITH A SCORE OF</t>
  </si>
  <si>
    <t>LLAMA POINTS!!!</t>
  </si>
  <si>
    <t>Players:</t>
  </si>
  <si>
    <t>Llama</t>
  </si>
  <si>
    <t>Nic</t>
  </si>
  <si>
    <t>Taank</t>
  </si>
  <si>
    <t>Elephant</t>
  </si>
  <si>
    <t>Jorg</t>
  </si>
  <si>
    <t>Deadlock</t>
  </si>
  <si>
    <t>Veil</t>
  </si>
  <si>
    <t>Arch</t>
  </si>
  <si>
    <t>Winter</t>
  </si>
  <si>
    <t>Total:</t>
  </si>
  <si>
    <t>Session 1:</t>
  </si>
  <si>
    <t>Session 2:</t>
  </si>
  <si>
    <t>Session 3:</t>
  </si>
  <si>
    <t>Session 4:</t>
  </si>
  <si>
    <t>Session 5:</t>
  </si>
  <si>
    <t>Session 6:</t>
  </si>
  <si>
    <t>Session 7:</t>
  </si>
  <si>
    <t>Session 8:</t>
  </si>
  <si>
    <t>Session 9:</t>
  </si>
  <si>
    <t>Session 10:</t>
  </si>
  <si>
    <t>VP Total:</t>
  </si>
  <si>
    <t>GP Score:</t>
  </si>
  <si>
    <t>Llama Points:</t>
  </si>
  <si>
    <t>War 1:</t>
  </si>
  <si>
    <t># of Enemies:</t>
  </si>
  <si>
    <t># of Allies:</t>
  </si>
  <si>
    <t>Win?</t>
  </si>
  <si>
    <t>Condots?</t>
  </si>
  <si>
    <t>War 2:</t>
  </si>
  <si>
    <t>War 3:</t>
  </si>
  <si>
    <t>War 4:</t>
  </si>
  <si>
    <t>War 5:</t>
  </si>
  <si>
    <t>War 6:</t>
  </si>
  <si>
    <t>War 7:</t>
  </si>
  <si>
    <t>RAW</t>
  </si>
  <si>
    <t>Display Ranked Winner</t>
  </si>
  <si>
    <t>TRANSPOSE</t>
  </si>
  <si>
    <t>SORT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</si>
</sst>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sz val="10.0"/>
      <color theme="1"/>
      <name val="Arial"/>
      <scheme val="minor"/>
    </font>
    <font>
      <sz val="10.0"/>
      <color rgb="FFFFFFFF"/>
      <name val="Arial"/>
      <scheme val="minor"/>
    </font>
    <font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1">
    <border/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5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0" fontId="6" numFmtId="164" xfId="0" applyAlignment="1" applyBorder="1" applyFont="1" applyNumberFormat="1">
      <alignment readingOrder="0"/>
    </xf>
    <xf borderId="0" fillId="0" fontId="6" numFmtId="164" xfId="0" applyAlignment="1" applyFont="1" applyNumberFormat="1">
      <alignment readingOrder="0"/>
    </xf>
    <xf borderId="2" fillId="0" fontId="6" numFmtId="164" xfId="0" applyAlignment="1" applyBorder="1" applyFont="1" applyNumberFormat="1">
      <alignment readingOrder="0"/>
    </xf>
    <xf borderId="1" fillId="3" fontId="0" numFmtId="164" xfId="0" applyBorder="1" applyFill="1" applyFont="1" applyNumberFormat="1"/>
    <xf borderId="0" fillId="3" fontId="0" numFmtId="164" xfId="0" applyFont="1" applyNumberFormat="1"/>
    <xf borderId="2" fillId="3" fontId="0" numFmtId="164" xfId="0" applyBorder="1" applyFont="1" applyNumberFormat="1"/>
    <xf borderId="1" fillId="3" fontId="6" numFmtId="164" xfId="0" applyBorder="1" applyFont="1" applyNumberFormat="1"/>
    <xf borderId="0" fillId="3" fontId="6" numFmtId="164" xfId="0" applyFont="1" applyNumberFormat="1"/>
    <xf borderId="2" fillId="3" fontId="6" numFmtId="164" xfId="0" applyBorder="1" applyFont="1" applyNumberFormat="1"/>
    <xf borderId="3" fillId="0" fontId="1" numFmtId="0" xfId="0" applyAlignment="1" applyBorder="1" applyFont="1">
      <alignment readingOrder="0"/>
    </xf>
    <xf borderId="4" fillId="0" fontId="6" numFmtId="164" xfId="0" applyAlignment="1" applyBorder="1" applyFont="1" applyNumberFormat="1">
      <alignment readingOrder="0"/>
    </xf>
    <xf borderId="5" fillId="0" fontId="6" numFmtId="164" xfId="0" applyAlignment="1" applyBorder="1" applyFont="1" applyNumberFormat="1">
      <alignment readingOrder="0"/>
    </xf>
    <xf borderId="6" fillId="2" fontId="7" numFmtId="164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7" fillId="0" fontId="6" numFmtId="0" xfId="0" applyBorder="1" applyFont="1"/>
    <xf borderId="2" fillId="0" fontId="6" numFmtId="0" xfId="0" applyBorder="1" applyFont="1"/>
    <xf borderId="2" fillId="0" fontId="6" numFmtId="164" xfId="0" applyBorder="1" applyFont="1" applyNumberFormat="1"/>
    <xf borderId="1" fillId="0" fontId="6" numFmtId="0" xfId="0" applyBorder="1" applyFont="1"/>
    <xf borderId="8" fillId="0" fontId="6" numFmtId="164" xfId="0" applyBorder="1" applyFont="1" applyNumberFormat="1"/>
    <xf borderId="9" fillId="0" fontId="1" numFmtId="0" xfId="0" applyAlignment="1" applyBorder="1" applyFont="1">
      <alignment readingOrder="0"/>
    </xf>
    <xf borderId="10" fillId="0" fontId="6" numFmtId="164" xfId="0" applyBorder="1" applyFont="1" applyNumberFormat="1"/>
    <xf borderId="9" fillId="0" fontId="6" numFmtId="164" xfId="0" applyBorder="1" applyFont="1" applyNumberFormat="1"/>
    <xf borderId="8" fillId="2" fontId="7" numFmtId="164" xfId="0" applyBorder="1" applyFont="1" applyNumberFormat="1"/>
    <xf borderId="0" fillId="0" fontId="8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5" fillId="4" fontId="9" numFmtId="164" xfId="0" applyAlignment="1" applyBorder="1" applyFill="1" applyFont="1" applyNumberFormat="1">
      <alignment horizontal="right" vertical="bottom"/>
    </xf>
    <xf borderId="5" fillId="5" fontId="9" numFmtId="164" xfId="0" applyAlignment="1" applyBorder="1" applyFill="1" applyFont="1" applyNumberFormat="1">
      <alignment horizontal="right" vertical="bottom"/>
    </xf>
    <xf borderId="5" fillId="6" fontId="9" numFmtId="164" xfId="0" applyAlignment="1" applyBorder="1" applyFill="1" applyFont="1" applyNumberFormat="1">
      <alignment horizontal="right" vertical="bottom"/>
    </xf>
    <xf borderId="5" fillId="0" fontId="1" numFmtId="0" xfId="0" applyAlignment="1" applyBorder="1" applyFont="1">
      <alignment readingOrder="0"/>
    </xf>
    <xf borderId="3" fillId="0" fontId="1" numFmtId="0" xfId="0" applyBorder="1" applyFont="1"/>
    <xf borderId="5" fillId="0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0" fillId="4" fontId="9" numFmtId="164" xfId="0" applyAlignment="1" applyFont="1" applyNumberFormat="1">
      <alignment horizontal="right" vertical="bottom"/>
    </xf>
    <xf borderId="0" fillId="5" fontId="9" numFmtId="164" xfId="0" applyAlignment="1" applyFont="1" applyNumberFormat="1">
      <alignment horizontal="right" vertical="bottom"/>
    </xf>
    <xf borderId="0" fillId="6" fontId="9" numFmtId="164" xfId="0" applyAlignment="1" applyFont="1" applyNumberFormat="1">
      <alignment horizontal="right" vertical="bottom"/>
    </xf>
    <xf borderId="0" fillId="3" fontId="0" numFmtId="0" xfId="0" applyFont="1"/>
  </cellXfs>
  <cellStyles count="1">
    <cellStyle xfId="0" name="Normal" builtinId="0"/>
  </cellStyles>
  <dxfs count="4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3000">
                <a:solidFill>
                  <a:schemeClr val="dk1"/>
                </a:solidFill>
                <a:latin typeface="Arial black"/>
              </a:defRPr>
            </a:pPr>
            <a:r>
              <a:rPr b="0" i="0" sz="3000">
                <a:solidFill>
                  <a:schemeClr val="dk1"/>
                </a:solidFill>
                <a:latin typeface="Arial black"/>
              </a:rPr>
              <a:t>Final Scores</a:t>
            </a:r>
          </a:p>
        </c:rich>
      </c:tx>
      <c:overlay val="0"/>
    </c:title>
    <c:plotArea>
      <c:layout/>
      <c:barChart>
        <c:barDir val="col"/>
        <c:axId val="1971125834"/>
        <c:axId val="1064972873"/>
      </c:barChart>
      <c:catAx>
        <c:axId val="1971125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64972873"/>
      </c:catAx>
      <c:valAx>
        <c:axId val="1064972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125834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VPs gained per session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'Total Score'!$Z$2:$Z$11</c:f>
              <c:numCache/>
            </c:numRef>
          </c:val>
          <c:smooth val="0"/>
        </c:ser>
        <c:axId val="1986935708"/>
        <c:axId val="1941788333"/>
      </c:lineChart>
      <c:catAx>
        <c:axId val="1986935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Session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788333"/>
      </c:catAx>
      <c:valAx>
        <c:axId val="1941788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Victory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9357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2</xdr:row>
      <xdr:rowOff>142875</xdr:rowOff>
    </xdr:from>
    <xdr:ext cx="9429750" cy="4838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15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2" max="12" width="29.5"/>
  </cols>
  <sheetData>
    <row r="7">
      <c r="L7" s="1" t="s">
        <v>0</v>
      </c>
    </row>
    <row r="8">
      <c r="L8" s="2" t="str">
        <f>(Calculations!B5)</f>
        <v>Nic</v>
      </c>
    </row>
    <row r="9">
      <c r="L9" s="1" t="s">
        <v>1</v>
      </c>
    </row>
    <row r="10">
      <c r="L10" s="3">
        <f>(Calculations!B6)</f>
        <v>62.83</v>
      </c>
    </row>
    <row r="11">
      <c r="L11" s="1" t="s">
        <v>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12.63"/>
    <col customWidth="1" min="3" max="3" width="17.88"/>
    <col customWidth="1" min="4" max="4" width="15.75"/>
    <col customWidth="1" min="5" max="5" width="15.0"/>
    <col customWidth="1" min="6" max="6" width="18.63"/>
    <col customWidth="1" min="7" max="7" width="15.25"/>
    <col customWidth="1" min="8" max="9" width="12.63"/>
    <col customWidth="1" min="10" max="10" width="17.25"/>
    <col customWidth="1" min="11" max="11" width="12.63"/>
    <col customWidth="1" min="12" max="12" width="15.0"/>
    <col customWidth="1" min="13" max="13" width="20.5"/>
    <col customWidth="1" min="14" max="14" width="20.88"/>
    <col customWidth="1" min="15" max="15" width="13.88"/>
    <col customWidth="1" min="16" max="16" width="17.63"/>
    <col customWidth="1" min="17" max="17" width="16.63"/>
    <col customWidth="1" min="18" max="18" width="19.38"/>
    <col customWidth="1" min="19" max="19" width="18.5"/>
    <col customWidth="1" min="20" max="20" width="17.88"/>
    <col customWidth="1" min="21" max="21" width="14.75"/>
    <col customWidth="1" min="22" max="26" width="12.63"/>
  </cols>
  <sheetData>
    <row r="1">
      <c r="A1" s="4" t="s">
        <v>3</v>
      </c>
      <c r="B1" s="5" t="s">
        <v>4</v>
      </c>
      <c r="C1" s="4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4" t="s">
        <v>12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  <c r="Y1" s="6"/>
      <c r="Z1" s="7" t="s">
        <v>13</v>
      </c>
    </row>
    <row r="2">
      <c r="A2" s="8" t="s">
        <v>14</v>
      </c>
      <c r="B2" s="9">
        <f>'Session 1'!B2+'Session 1'!B7+'Session 1'!B12+'Session 1'!B17+'Session 1'!B22+'Session 1'!B27+'Session 1'!B32</f>
        <v>20</v>
      </c>
      <c r="C2" s="9">
        <f>'Session 1'!C2+'Session 1'!C7+'Session 1'!C12+'Session 1'!C17+'Session 1'!C22+'Session 1'!C27+'Session 1'!C32</f>
        <v>-5</v>
      </c>
      <c r="D2" s="9">
        <f>'Session 1'!D2+'Session 1'!D7+'Session 1'!D12+'Session 1'!D17+'Session 1'!D22+'Session 1'!D27+'Session 1'!D32</f>
        <v>10</v>
      </c>
      <c r="E2" s="9">
        <f>'Session 1'!E2+'Session 1'!E7+'Session 1'!E12+'Session 1'!E17+'Session 1'!E22+'Session 1'!E27+'Session 1'!E32</f>
        <v>-10</v>
      </c>
      <c r="F2" s="9">
        <f>'Session 1'!F2+'Session 1'!F7+'Session 1'!F12+'Session 1'!F17+'Session 1'!F22+'Session 1'!F27+'Session 1'!F32</f>
        <v>-10</v>
      </c>
      <c r="G2" s="9">
        <f>'Session 1'!G2+'Session 1'!G7+'Session 1'!G12+'Session 1'!G17+'Session 1'!G22+'Session 1'!G27+'Session 1'!G32</f>
        <v>0</v>
      </c>
      <c r="H2" s="9">
        <f>'Session 1'!H2+'Session 1'!H7+'Session 1'!H12+'Session 1'!H17+'Session 1'!H22+'Session 1'!H27+'Session 1'!H32</f>
        <v>0</v>
      </c>
      <c r="I2" s="9">
        <f>'Session 1'!I2+'Session 1'!I7+'Session 1'!I12+'Session 1'!I17+'Session 1'!I22+'Session 1'!I27+'Session 1'!I32</f>
        <v>0</v>
      </c>
      <c r="J2" s="9">
        <f>'Session 1'!J2+'Session 1'!J7+'Session 1'!J12+'Session 1'!J17+'Session 1'!J22+'Session 1'!J27+'Session 1'!J32</f>
        <v>0</v>
      </c>
      <c r="K2" s="9">
        <f>'Session 1'!K2+'Session 1'!K7+'Session 1'!K12+'Session 1'!K17+'Session 1'!K22+'Session 1'!K27+'Session 1'!K32</f>
        <v>0</v>
      </c>
      <c r="L2" s="9">
        <f>'Session 1'!L2+'Session 1'!L7+'Session 1'!L12+'Session 1'!L17+'Session 1'!L22+'Session 1'!L27+'Session 1'!L32</f>
        <v>0</v>
      </c>
      <c r="M2" s="9">
        <f>'Session 1'!M2+'Session 1'!M7+'Session 1'!M12+'Session 1'!M17+'Session 1'!M22+'Session 1'!M27+'Session 1'!M32</f>
        <v>0</v>
      </c>
      <c r="N2" s="9">
        <f>'Session 1'!N2+'Session 1'!N7+'Session 1'!N12+'Session 1'!N17+'Session 1'!N22+'Session 1'!N27+'Session 1'!N32</f>
        <v>0</v>
      </c>
      <c r="O2" s="9">
        <f>'Session 1'!O2+'Session 1'!O7+'Session 1'!O12+'Session 1'!O17+'Session 1'!O22+'Session 1'!O27+'Session 1'!O32</f>
        <v>0</v>
      </c>
      <c r="P2" s="9">
        <f>'Session 1'!P2+'Session 1'!P7+'Session 1'!P12+'Session 1'!P17+'Session 1'!P22+'Session 1'!P27+'Session 1'!P32</f>
        <v>0</v>
      </c>
      <c r="Q2" s="9">
        <f>'Session 1'!Q2+'Session 1'!Q7+'Session 1'!Q12+'Session 1'!Q17+'Session 1'!Q22+'Session 1'!Q27+'Session 1'!Q32</f>
        <v>0</v>
      </c>
      <c r="R2" s="9">
        <f>'Session 1'!R2+'Session 1'!R7+'Session 1'!R12+'Session 1'!R17+'Session 1'!R22+'Session 1'!R27+'Session 1'!R32</f>
        <v>0</v>
      </c>
      <c r="S2" s="9">
        <f>'Session 1'!S2+'Session 1'!S7+'Session 1'!S12+'Session 1'!S17+'Session 1'!S22+'Session 1'!S27+'Session 1'!S32</f>
        <v>0</v>
      </c>
      <c r="T2" s="9">
        <f>'Session 1'!T2+'Session 1'!T7+'Session 1'!T12+'Session 1'!T17+'Session 1'!T22+'Session 1'!T27+'Session 1'!T32</f>
        <v>0</v>
      </c>
      <c r="U2" s="9">
        <f>'Session 1'!U2+'Session 1'!U7+'Session 1'!U12+'Session 1'!U17+'Session 1'!U22+'Session 1'!U27+'Session 1'!U32</f>
        <v>0</v>
      </c>
      <c r="V2" s="9">
        <f>'Session 1'!V2+'Session 1'!V7+'Session 1'!V12+'Session 1'!V17+'Session 1'!V22+'Session 1'!V27+'Session 1'!V32</f>
        <v>0</v>
      </c>
      <c r="W2" s="9">
        <f>'Session 1'!W2+'Session 1'!W7+'Session 1'!W12+'Session 1'!W17+'Session 1'!W22+'Session 1'!W27+'Session 1'!W32</f>
        <v>0</v>
      </c>
      <c r="X2" s="9">
        <f>'Session 1'!X2+'Session 1'!X7+'Session 1'!X12+'Session 1'!X17+'Session 1'!X22+'Session 1'!X27+'Session 1'!X32</f>
        <v>0</v>
      </c>
      <c r="Y2" s="10">
        <f>'Session 1'!Y2+'Session 1'!Y7+'Session 1'!Y12+'Session 1'!Y17+'Session 1'!Y22+'Session 1'!Y27+'Session 1'!Y32</f>
        <v>0</v>
      </c>
      <c r="Z2" s="11">
        <f t="shared" ref="Z2:Z12" si="1">SUM(B2:Y2)</f>
        <v>5</v>
      </c>
    </row>
    <row r="3">
      <c r="A3" s="8" t="s">
        <v>15</v>
      </c>
      <c r="B3" s="12">
        <f>'Session 2'!B2+'Session 2'!B7+'Session 2'!B12+'Session 2'!B17+'Session 2'!B22+'Session 2'!B27+'Session 2'!B32</f>
        <v>20</v>
      </c>
      <c r="C3" s="12">
        <f>'Session 2'!C2+'Session 2'!C7+'Session 2'!C12+'Session 2'!C17+'Session 2'!C22+'Session 2'!C27+'Session 2'!C32</f>
        <v>10</v>
      </c>
      <c r="D3" s="12">
        <f>'Session 2'!D2+'Session 2'!D7+'Session 2'!D12+'Session 2'!D17+'Session 2'!D22+'Session 2'!D27+'Session 2'!D32</f>
        <v>-5</v>
      </c>
      <c r="E3" s="12">
        <f>'Session 2'!E2+'Session 2'!E7+'Session 2'!E12+'Session 2'!E17+'Session 2'!E22+'Session 2'!E27+'Session 2'!E32</f>
        <v>0</v>
      </c>
      <c r="F3" s="12">
        <f>'Session 2'!F2+'Session 2'!F7+'Session 2'!F12+'Session 2'!F17+'Session 2'!F22+'Session 2'!F27+'Session 2'!F32</f>
        <v>0</v>
      </c>
      <c r="G3" s="12">
        <f>'Session 2'!G2+'Session 2'!G7+'Session 2'!G12+'Session 2'!G17+'Session 2'!G22+'Session 2'!G27+'Session 2'!G32</f>
        <v>-10</v>
      </c>
      <c r="H3" s="12">
        <f>'Session 2'!H2+'Session 2'!H7+'Session 2'!H12+'Session 2'!H17+'Session 2'!H22+'Session 2'!H27+'Session 2'!H32</f>
        <v>0</v>
      </c>
      <c r="I3" s="12">
        <f>'Session 2'!I2+'Session 2'!I7+'Session 2'!I12+'Session 2'!I17+'Session 2'!I22+'Session 2'!I27+'Session 2'!I32</f>
        <v>0</v>
      </c>
      <c r="J3" s="12">
        <f>'Session 2'!J2+'Session 2'!J7+'Session 2'!J12+'Session 2'!J17+'Session 2'!J22+'Session 2'!J27+'Session 2'!J32</f>
        <v>0</v>
      </c>
      <c r="K3" s="12">
        <f>'Session 2'!K2+'Session 2'!K7+'Session 2'!K12+'Session 2'!K17+'Session 2'!K22+'Session 2'!K27+'Session 2'!K32</f>
        <v>0</v>
      </c>
      <c r="L3" s="12">
        <f>'Session 2'!L2+'Session 2'!L7+'Session 2'!L12+'Session 2'!L17+'Session 2'!L22+'Session 2'!L27+'Session 2'!L32</f>
        <v>0</v>
      </c>
      <c r="M3" s="12">
        <f>'Session 2'!M2+'Session 2'!M7+'Session 2'!M12+'Session 2'!M17+'Session 2'!M22+'Session 2'!M27+'Session 2'!M32</f>
        <v>0</v>
      </c>
      <c r="N3" s="12">
        <f>'Session 2'!N2+'Session 2'!N7+'Session 2'!N12+'Session 2'!N17+'Session 2'!N22+'Session 2'!N27+'Session 2'!N32</f>
        <v>0</v>
      </c>
      <c r="O3" s="12">
        <f>'Session 2'!O2+'Session 2'!O7+'Session 2'!O12+'Session 2'!O17+'Session 2'!O22+'Session 2'!O27+'Session 2'!O32</f>
        <v>0</v>
      </c>
      <c r="P3" s="12">
        <f>'Session 2'!P2+'Session 2'!P7+'Session 2'!P12+'Session 2'!P17+'Session 2'!P22+'Session 2'!P27+'Session 2'!P32</f>
        <v>0</v>
      </c>
      <c r="Q3" s="12">
        <f>'Session 2'!Q2+'Session 2'!Q7+'Session 2'!Q12+'Session 2'!Q17+'Session 2'!Q22+'Session 2'!Q27+'Session 2'!Q32</f>
        <v>0</v>
      </c>
      <c r="R3" s="12">
        <f>'Session 2'!R2+'Session 2'!R7+'Session 2'!R12+'Session 2'!R17+'Session 2'!R22+'Session 2'!R27+'Session 2'!R32</f>
        <v>0</v>
      </c>
      <c r="S3" s="12">
        <f>'Session 2'!S2+'Session 2'!S7+'Session 2'!S12+'Session 2'!S17+'Session 2'!S22+'Session 2'!S27+'Session 2'!S32</f>
        <v>0</v>
      </c>
      <c r="T3" s="12">
        <f>'Session 2'!T2+'Session 2'!T7+'Session 2'!T12+'Session 2'!T17+'Session 2'!T22+'Session 2'!T27+'Session 2'!T32</f>
        <v>0</v>
      </c>
      <c r="U3" s="12">
        <f>'Session 2'!U2+'Session 2'!U7+'Session 2'!U12+'Session 2'!U17+'Session 2'!U22+'Session 2'!U27+'Session 2'!U32</f>
        <v>0</v>
      </c>
      <c r="V3" s="12">
        <f>'Session 2'!V2+'Session 2'!V7+'Session 2'!V12+'Session 2'!V17+'Session 2'!V22+'Session 2'!V27+'Session 2'!V32</f>
        <v>0</v>
      </c>
      <c r="W3" s="12">
        <f>'Session 2'!W2+'Session 2'!W7+'Session 2'!W12+'Session 2'!W17+'Session 2'!W22+'Session 2'!W27+'Session 2'!W32</f>
        <v>0</v>
      </c>
      <c r="X3" s="12">
        <f>'Session 2'!X2+'Session 2'!X7+'Session 2'!X12+'Session 2'!X17+'Session 2'!X22+'Session 2'!X27+'Session 2'!X32</f>
        <v>0</v>
      </c>
      <c r="Y3" s="13">
        <f>'Session 2'!Y2+'Session 2'!Y7+'Session 2'!Y12+'Session 2'!Y17+'Session 2'!Y22+'Session 2'!Y27+'Session 2'!Y32</f>
        <v>0</v>
      </c>
      <c r="Z3" s="14">
        <f t="shared" si="1"/>
        <v>15</v>
      </c>
    </row>
    <row r="4">
      <c r="A4" s="8" t="s">
        <v>16</v>
      </c>
      <c r="B4" s="12">
        <f>'Session 3'!B2+'Session 3'!B7+'Session 3'!B12+'Session 3'!B17+'Session 3'!B22+'Session 3'!B27+'Session 3'!B32</f>
        <v>0</v>
      </c>
      <c r="C4" s="12">
        <f>'Session 3'!C2+'Session 3'!C7+'Session 3'!C12+'Session 3'!C17+'Session 3'!C22+'Session 3'!C27+'Session 3'!C32</f>
        <v>10</v>
      </c>
      <c r="D4" s="12">
        <f>'Session 3'!D2+'Session 3'!D7+'Session 3'!D12+'Session 3'!D17+'Session 3'!D22+'Session 3'!D27+'Session 3'!D32</f>
        <v>-10</v>
      </c>
      <c r="E4" s="12">
        <f>'Session 3'!E2+'Session 3'!E7+'Session 3'!E12+'Session 3'!E17+'Session 3'!E22+'Session 3'!E27+'Session 3'!E32</f>
        <v>0</v>
      </c>
      <c r="F4" s="12">
        <f>'Session 3'!F2+'Session 3'!F7+'Session 3'!F12+'Session 3'!F17+'Session 3'!F22+'Session 3'!F27+'Session 3'!F32</f>
        <v>0</v>
      </c>
      <c r="G4" s="12">
        <f>'Session 3'!G2+'Session 3'!G7+'Session 3'!G12+'Session 3'!G17+'Session 3'!G22+'Session 3'!G27+'Session 3'!G32</f>
        <v>0</v>
      </c>
      <c r="H4" s="12">
        <f>'Session 3'!H2+'Session 3'!H7+'Session 3'!H12+'Session 3'!H17+'Session 3'!H22+'Session 3'!H27+'Session 3'!H32</f>
        <v>10</v>
      </c>
      <c r="I4" s="12">
        <f>'Session 3'!I2+'Session 3'!I7+'Session 3'!I12+'Session 3'!I17+'Session 3'!I22+'Session 3'!I27+'Session 3'!I32</f>
        <v>0</v>
      </c>
      <c r="J4" s="12">
        <f>'Session 3'!J2+'Session 3'!J7+'Session 3'!J12+'Session 3'!J17+'Session 3'!J22+'Session 3'!J27+'Session 3'!J32</f>
        <v>0</v>
      </c>
      <c r="K4" s="12">
        <f>'Session 3'!K2+'Session 3'!K7+'Session 3'!K12+'Session 3'!K17+'Session 3'!K22+'Session 3'!K27+'Session 3'!K32</f>
        <v>0</v>
      </c>
      <c r="L4" s="12">
        <f>'Session 3'!L2+'Session 3'!L7+'Session 3'!L12+'Session 3'!L17+'Session 3'!L22+'Session 3'!L27+'Session 3'!L32</f>
        <v>0</v>
      </c>
      <c r="M4" s="12">
        <f>'Session 3'!M2+'Session 3'!M7+'Session 3'!M12+'Session 3'!M17+'Session 3'!M22+'Session 3'!M27+'Session 3'!M32</f>
        <v>0</v>
      </c>
      <c r="N4" s="12">
        <f>'Session 3'!N2+'Session 3'!N7+'Session 3'!N12+'Session 3'!N17+'Session 3'!N22+'Session 3'!N27+'Session 3'!N32</f>
        <v>0</v>
      </c>
      <c r="O4" s="12">
        <f>'Session 3'!O2+'Session 3'!O7+'Session 3'!O12+'Session 3'!O17+'Session 3'!O22+'Session 3'!O27+'Session 3'!O32</f>
        <v>0</v>
      </c>
      <c r="P4" s="12">
        <f>'Session 3'!P2+'Session 3'!P7+'Session 3'!P12+'Session 3'!P17+'Session 3'!P22+'Session 3'!P27+'Session 3'!P32</f>
        <v>0</v>
      </c>
      <c r="Q4" s="12">
        <f>'Session 3'!Q2+'Session 3'!Q7+'Session 3'!Q12+'Session 3'!Q17+'Session 3'!Q22+'Session 3'!Q27+'Session 3'!Q32</f>
        <v>0</v>
      </c>
      <c r="R4" s="12">
        <f>'Session 3'!R2+'Session 3'!R7+'Session 3'!R12+'Session 3'!R17+'Session 3'!R22+'Session 3'!R27+'Session 3'!R32</f>
        <v>0</v>
      </c>
      <c r="S4" s="12">
        <f>'Session 3'!S2+'Session 3'!S7+'Session 3'!S12+'Session 3'!S17+'Session 3'!S22+'Session 3'!S27+'Session 3'!S32</f>
        <v>0</v>
      </c>
      <c r="T4" s="12">
        <f>'Session 3'!T2+'Session 3'!T7+'Session 3'!T12+'Session 3'!T17+'Session 3'!T22+'Session 3'!T27+'Session 3'!T32</f>
        <v>0</v>
      </c>
      <c r="U4" s="12">
        <f>'Session 3'!U2+'Session 3'!U7+'Session 3'!U12+'Session 3'!U17+'Session 3'!U22+'Session 3'!U27+'Session 3'!U32</f>
        <v>0</v>
      </c>
      <c r="V4" s="12">
        <f>'Session 3'!V2+'Session 3'!V7+'Session 3'!V12+'Session 3'!V17+'Session 3'!V22+'Session 3'!V27+'Session 3'!V32</f>
        <v>0</v>
      </c>
      <c r="W4" s="12">
        <f>'Session 3'!W2+'Session 3'!W7+'Session 3'!W12+'Session 3'!W17+'Session 3'!W22+'Session 3'!W27+'Session 3'!W32</f>
        <v>0</v>
      </c>
      <c r="X4" s="12">
        <f>'Session 3'!X2+'Session 3'!X7+'Session 3'!X12+'Session 3'!X17+'Session 3'!X22+'Session 3'!X27+'Session 3'!X32</f>
        <v>0</v>
      </c>
      <c r="Y4" s="13">
        <f>'Session 3'!Y2+'Session 3'!Y7+'Session 3'!Y12+'Session 3'!Y17+'Session 3'!Y22+'Session 3'!Y27+'Session 3'!Y32</f>
        <v>0</v>
      </c>
      <c r="Z4" s="14">
        <f t="shared" si="1"/>
        <v>10</v>
      </c>
    </row>
    <row r="5">
      <c r="A5" s="8" t="s">
        <v>17</v>
      </c>
      <c r="B5" s="12">
        <f>'Session 4'!B2+'Session 4'!B7+'Session 4'!B12+'Session 4'!B17+'Session 4'!B22+'Session 4'!B27+'Session 4'!B32</f>
        <v>-2.5</v>
      </c>
      <c r="C5" s="12">
        <f>'Session 4'!C2+'Session 4'!C7+'Session 4'!C12+'Session 4'!C17+'Session 4'!C22+'Session 4'!C27+'Session 4'!C32</f>
        <v>30</v>
      </c>
      <c r="D5" s="12">
        <f>'Session 4'!D2+'Session 4'!D7+'Session 4'!D12+'Session 4'!D17+'Session 4'!D22+'Session 4'!D27+'Session 4'!D32</f>
        <v>-7.5</v>
      </c>
      <c r="E5" s="12">
        <f>'Session 4'!E2+'Session 4'!E7+'Session 4'!E12+'Session 4'!E17+'Session 4'!E22+'Session 4'!E27+'Session 4'!E32</f>
        <v>0</v>
      </c>
      <c r="F5" s="12">
        <f>'Session 4'!F2+'Session 4'!F7+'Session 4'!F12+'Session 4'!F17+'Session 4'!F22+'Session 4'!F27+'Session 4'!F32</f>
        <v>-12.5</v>
      </c>
      <c r="G5" s="12">
        <f>'Session 4'!G2+'Session 4'!G7+'Session 4'!G12+'Session 4'!G17+'Session 4'!G22+'Session 4'!G27+'Session 4'!G32</f>
        <v>-12.5</v>
      </c>
      <c r="H5" s="12">
        <f>'Session 4'!H2+'Session 4'!H7+'Session 4'!H12+'Session 4'!H17+'Session 4'!H22+'Session 4'!H27+'Session 4'!H32</f>
        <v>25</v>
      </c>
      <c r="I5" s="12">
        <f>'Session 4'!I2+'Session 4'!I7+'Session 4'!I12+'Session 4'!I17+'Session 4'!I22+'Session 4'!I27+'Session 4'!I32</f>
        <v>-12.5</v>
      </c>
      <c r="J5" s="12">
        <f>'Session 4'!J2+'Session 4'!J7+'Session 4'!J12+'Session 4'!J17+'Session 4'!J22+'Session 4'!J27+'Session 4'!J32</f>
        <v>-12.5</v>
      </c>
      <c r="K5" s="12">
        <f>'Session 4'!K2+'Session 4'!K7+'Session 4'!K12+'Session 4'!K17+'Session 4'!K22+'Session 4'!K27+'Session 4'!K32</f>
        <v>0</v>
      </c>
      <c r="L5" s="12">
        <f>'Session 4'!L2+'Session 4'!L7+'Session 4'!L12+'Session 4'!L17+'Session 4'!L22+'Session 4'!L27+'Session 4'!L32</f>
        <v>0</v>
      </c>
      <c r="M5" s="12">
        <f>'Session 4'!M2+'Session 4'!M7+'Session 4'!M12+'Session 4'!M17+'Session 4'!M22+'Session 4'!M27+'Session 4'!M32</f>
        <v>0</v>
      </c>
      <c r="N5" s="12">
        <f>'Session 4'!N2+'Session 4'!N7+'Session 4'!N12+'Session 4'!N17+'Session 4'!N22+'Session 4'!N27+'Session 4'!N32</f>
        <v>0</v>
      </c>
      <c r="O5" s="12">
        <f>'Session 4'!O2+'Session 4'!O7+'Session 4'!O12+'Session 4'!O17+'Session 4'!O22+'Session 4'!O27+'Session 4'!O32</f>
        <v>0</v>
      </c>
      <c r="P5" s="12">
        <f>'Session 4'!P2+'Session 4'!P7+'Session 4'!P12+'Session 4'!P17+'Session 4'!P22+'Session 4'!P27+'Session 4'!P32</f>
        <v>0</v>
      </c>
      <c r="Q5" s="12">
        <f>'Session 4'!Q2+'Session 4'!Q7+'Session 4'!Q12+'Session 4'!Q17+'Session 4'!Q22+'Session 4'!Q27+'Session 4'!Q32</f>
        <v>0</v>
      </c>
      <c r="R5" s="12">
        <f>'Session 4'!R2+'Session 4'!R7+'Session 4'!R12+'Session 4'!R17+'Session 4'!R22+'Session 4'!R27+'Session 4'!R32</f>
        <v>0</v>
      </c>
      <c r="S5" s="12">
        <f>'Session 4'!S2+'Session 4'!S7+'Session 4'!S12+'Session 4'!S17+'Session 4'!S22+'Session 4'!S27+'Session 4'!S32</f>
        <v>0</v>
      </c>
      <c r="T5" s="12">
        <f>'Session 4'!T2+'Session 4'!T7+'Session 4'!T12+'Session 4'!T17+'Session 4'!T22+'Session 4'!T27+'Session 4'!T32</f>
        <v>0</v>
      </c>
      <c r="U5" s="12">
        <f>'Session 4'!U2+'Session 4'!U7+'Session 4'!U12+'Session 4'!U17+'Session 4'!U22+'Session 4'!U27+'Session 4'!U32</f>
        <v>0</v>
      </c>
      <c r="V5" s="12">
        <f>'Session 4'!V2+'Session 4'!V7+'Session 4'!V12+'Session 4'!V17+'Session 4'!V22+'Session 4'!V27+'Session 4'!V32</f>
        <v>0</v>
      </c>
      <c r="W5" s="12">
        <f>'Session 4'!W2+'Session 4'!W7+'Session 4'!W12+'Session 4'!W17+'Session 4'!W22+'Session 4'!W27+'Session 4'!W32</f>
        <v>0</v>
      </c>
      <c r="X5" s="12">
        <f>'Session 4'!X2+'Session 4'!X7+'Session 4'!X12+'Session 4'!X17+'Session 4'!X22+'Session 4'!X27+'Session 4'!X32</f>
        <v>0</v>
      </c>
      <c r="Y5" s="13">
        <f>'Session 4'!Y2+'Session 4'!Y7+'Session 4'!Y12+'Session 4'!Y17+'Session 4'!Y22+'Session 4'!Y27+'Session 4'!Y32</f>
        <v>0</v>
      </c>
      <c r="Z5" s="14">
        <f t="shared" si="1"/>
        <v>-5</v>
      </c>
    </row>
    <row r="6">
      <c r="A6" s="8" t="s">
        <v>18</v>
      </c>
      <c r="B6" s="12">
        <f>'Session 5'!B2+'Session 5'!B7+'Session 5'!B12+'Session 5'!B17+'Session 5'!B22+'Session 5'!B27+'Session 5'!B32</f>
        <v>0</v>
      </c>
      <c r="C6" s="12">
        <f>'Session 5'!C2+'Session 5'!C7+'Session 5'!C12+'Session 5'!C17+'Session 5'!C22+'Session 5'!C27+'Session 5'!C32</f>
        <v>0</v>
      </c>
      <c r="D6" s="12">
        <f>'Session 5'!D2+'Session 5'!D7+'Session 5'!D12+'Session 5'!D17+'Session 5'!D22+'Session 5'!D27+'Session 5'!D32</f>
        <v>0</v>
      </c>
      <c r="E6" s="12">
        <f>'Session 5'!E2+'Session 5'!E7+'Session 5'!E12+'Session 5'!E17+'Session 5'!E22+'Session 5'!E27+'Session 5'!E32</f>
        <v>0</v>
      </c>
      <c r="F6" s="12">
        <f>'Session 5'!F2+'Session 5'!F7+'Session 5'!F12+'Session 5'!F17+'Session 5'!F22+'Session 5'!F27+'Session 5'!F32</f>
        <v>0</v>
      </c>
      <c r="G6" s="12">
        <f>'Session 5'!G2+'Session 5'!G7+'Session 5'!G12+'Session 5'!G17+'Session 5'!G22+'Session 5'!G27+'Session 5'!G32</f>
        <v>0</v>
      </c>
      <c r="H6" s="12">
        <f>'Session 5'!H2+'Session 5'!H7+'Session 5'!H12+'Session 5'!H17+'Session 5'!H22+'Session 5'!H27+'Session 5'!H32</f>
        <v>0</v>
      </c>
      <c r="I6" s="12">
        <f>'Session 5'!I2+'Session 5'!I7+'Session 5'!I12+'Session 5'!I17+'Session 5'!I22+'Session 5'!I27+'Session 5'!I32</f>
        <v>0</v>
      </c>
      <c r="J6" s="12">
        <f>'Session 5'!J2+'Session 5'!J7+'Session 5'!J12+'Session 5'!J17+'Session 5'!J22+'Session 5'!J27+'Session 5'!J32</f>
        <v>0</v>
      </c>
      <c r="K6" s="12">
        <f>'Session 5'!K2+'Session 5'!K7+'Session 5'!K12+'Session 5'!K17+'Session 5'!K22+'Session 5'!K27+'Session 5'!K32</f>
        <v>0</v>
      </c>
      <c r="L6" s="12">
        <f>'Session 5'!L2+'Session 5'!L7+'Session 5'!L12+'Session 5'!L17+'Session 5'!L22+'Session 5'!L27+'Session 5'!L32</f>
        <v>0</v>
      </c>
      <c r="M6" s="12">
        <f>'Session 5'!M2+'Session 5'!M7+'Session 5'!M12+'Session 5'!M17+'Session 5'!M22+'Session 5'!M27+'Session 5'!M32</f>
        <v>0</v>
      </c>
      <c r="N6" s="12">
        <f>'Session 5'!N2+'Session 5'!N7+'Session 5'!N12+'Session 5'!N17+'Session 5'!N22+'Session 5'!N27+'Session 5'!N32</f>
        <v>0</v>
      </c>
      <c r="O6" s="12">
        <f>'Session 5'!O2+'Session 5'!O7+'Session 5'!O12+'Session 5'!O17+'Session 5'!O22+'Session 5'!O27+'Session 5'!O32</f>
        <v>0</v>
      </c>
      <c r="P6" s="12">
        <f>'Session 5'!P2+'Session 5'!P7+'Session 5'!P12+'Session 5'!P17+'Session 5'!P22+'Session 5'!P27+'Session 5'!P32</f>
        <v>0</v>
      </c>
      <c r="Q6" s="12">
        <f>'Session 5'!Q2+'Session 5'!Q7+'Session 5'!Q12+'Session 5'!Q17+'Session 5'!Q22+'Session 5'!Q27+'Session 5'!Q32</f>
        <v>0</v>
      </c>
      <c r="R6" s="12">
        <f>'Session 5'!R2+'Session 5'!R7+'Session 5'!R12+'Session 5'!R17+'Session 5'!R22+'Session 5'!R27+'Session 5'!R32</f>
        <v>0</v>
      </c>
      <c r="S6" s="12">
        <f>'Session 5'!S2+'Session 5'!S7+'Session 5'!S12+'Session 5'!S17+'Session 5'!S22+'Session 5'!S27+'Session 5'!S32</f>
        <v>0</v>
      </c>
      <c r="T6" s="12">
        <f>'Session 5'!T2+'Session 5'!T7+'Session 5'!T12+'Session 5'!T17+'Session 5'!T22+'Session 5'!T27+'Session 5'!T32</f>
        <v>0</v>
      </c>
      <c r="U6" s="12">
        <f>'Session 5'!U2+'Session 5'!U7+'Session 5'!U12+'Session 5'!U17+'Session 5'!U22+'Session 5'!U27+'Session 5'!U32</f>
        <v>0</v>
      </c>
      <c r="V6" s="12">
        <f>'Session 5'!V2+'Session 5'!V7+'Session 5'!V12+'Session 5'!V17+'Session 5'!V22+'Session 5'!V27+'Session 5'!V32</f>
        <v>0</v>
      </c>
      <c r="W6" s="12">
        <f>'Session 5'!W2+'Session 5'!W7+'Session 5'!W12+'Session 5'!W17+'Session 5'!W22+'Session 5'!W27+'Session 5'!W32</f>
        <v>0</v>
      </c>
      <c r="X6" s="12">
        <f>'Session 5'!X2+'Session 5'!X7+'Session 5'!X12+'Session 5'!X17+'Session 5'!X22+'Session 5'!X27+'Session 5'!X32</f>
        <v>0</v>
      </c>
      <c r="Y6" s="13">
        <f>'Session 5'!Y2+'Session 5'!Y7+'Session 5'!Y12+'Session 5'!Y17+'Session 5'!Y22+'Session 5'!Y27+'Session 5'!Y32</f>
        <v>0</v>
      </c>
      <c r="Z6" s="14">
        <f t="shared" si="1"/>
        <v>0</v>
      </c>
    </row>
    <row r="7">
      <c r="A7" s="8" t="s">
        <v>19</v>
      </c>
      <c r="B7" s="12">
        <f>'Session 6'!B2+'Session 6'!B7+'Session 6'!B12+'Session 6'!B17+'Session 6'!B22+'Session 6'!B27+'Session 6'!B32</f>
        <v>0</v>
      </c>
      <c r="C7" s="12">
        <f>'Session 6'!C2+'Session 6'!C7+'Session 6'!C12+'Session 6'!C17+'Session 6'!C22+'Session 6'!C27+'Session 6'!C32</f>
        <v>0</v>
      </c>
      <c r="D7" s="12">
        <f>'Session 6'!D2+'Session 6'!D7+'Session 6'!D12+'Session 6'!D17+'Session 6'!D22+'Session 6'!D27+'Session 6'!D32</f>
        <v>0</v>
      </c>
      <c r="E7" s="12">
        <f>'Session 6'!E2+'Session 6'!E7+'Session 6'!E12+'Session 6'!E17+'Session 6'!E22+'Session 6'!E27+'Session 6'!E32</f>
        <v>0</v>
      </c>
      <c r="F7" s="12">
        <f>'Session 6'!F2+'Session 6'!F7+'Session 6'!F12+'Session 6'!F17+'Session 6'!F22+'Session 6'!F27+'Session 6'!F32</f>
        <v>0</v>
      </c>
      <c r="G7" s="12">
        <f>'Session 6'!G2+'Session 6'!G7+'Session 6'!G12+'Session 6'!G17+'Session 6'!G22+'Session 6'!G27+'Session 6'!G32</f>
        <v>0</v>
      </c>
      <c r="H7" s="12">
        <f>'Session 6'!H2+'Session 6'!H7+'Session 6'!H12+'Session 6'!H17+'Session 6'!H22+'Session 6'!H27+'Session 6'!H32</f>
        <v>0</v>
      </c>
      <c r="I7" s="12">
        <f>'Session 6'!I2+'Session 6'!I7+'Session 6'!I12+'Session 6'!I17+'Session 6'!I22+'Session 6'!I27+'Session 6'!I32</f>
        <v>0</v>
      </c>
      <c r="J7" s="12">
        <f>'Session 6'!J2+'Session 6'!J7+'Session 6'!J12+'Session 6'!J17+'Session 6'!J22+'Session 6'!J27+'Session 6'!J32</f>
        <v>0</v>
      </c>
      <c r="K7" s="12">
        <f>'Session 6'!K2+'Session 6'!K7+'Session 6'!K12+'Session 6'!K17+'Session 6'!K22+'Session 6'!K27+'Session 6'!K32</f>
        <v>0</v>
      </c>
      <c r="L7" s="12">
        <f>'Session 6'!L2+'Session 6'!L7+'Session 6'!L12+'Session 6'!L17+'Session 6'!L22+'Session 6'!L27+'Session 6'!L32</f>
        <v>0</v>
      </c>
      <c r="M7" s="12">
        <f>'Session 6'!M2+'Session 6'!M7+'Session 6'!M12+'Session 6'!M17+'Session 6'!M22+'Session 6'!M27+'Session 6'!M32</f>
        <v>0</v>
      </c>
      <c r="N7" s="12">
        <f>'Session 6'!N2+'Session 6'!N7+'Session 6'!N12+'Session 6'!N17+'Session 6'!N22+'Session 6'!N27+'Session 6'!N32</f>
        <v>0</v>
      </c>
      <c r="O7" s="12">
        <f>'Session 6'!O2+'Session 6'!O7+'Session 6'!O12+'Session 6'!O17+'Session 6'!O22+'Session 6'!O27+'Session 6'!O32</f>
        <v>0</v>
      </c>
      <c r="P7" s="12">
        <f>'Session 6'!P2+'Session 6'!P7+'Session 6'!P12+'Session 6'!P17+'Session 6'!P22+'Session 6'!P27+'Session 6'!P32</f>
        <v>0</v>
      </c>
      <c r="Q7" s="12">
        <f>'Session 6'!Q2+'Session 6'!Q7+'Session 6'!Q12+'Session 6'!Q17+'Session 6'!Q22+'Session 6'!Q27+'Session 6'!Q32</f>
        <v>0</v>
      </c>
      <c r="R7" s="12">
        <f>'Session 6'!R2+'Session 6'!R7+'Session 6'!R12+'Session 6'!R17+'Session 6'!R22+'Session 6'!R27+'Session 6'!R32</f>
        <v>0</v>
      </c>
      <c r="S7" s="12">
        <f>'Session 6'!S2+'Session 6'!S7+'Session 6'!S12+'Session 6'!S17+'Session 6'!S22+'Session 6'!S27+'Session 6'!S32</f>
        <v>0</v>
      </c>
      <c r="T7" s="12">
        <f>'Session 6'!T2+'Session 6'!T7+'Session 6'!T12+'Session 6'!T17+'Session 6'!T22+'Session 6'!T27+'Session 6'!T32</f>
        <v>0</v>
      </c>
      <c r="U7" s="12">
        <f>'Session 6'!U2+'Session 6'!U7+'Session 6'!U12+'Session 6'!U17+'Session 6'!U22+'Session 6'!U27+'Session 6'!U32</f>
        <v>0</v>
      </c>
      <c r="V7" s="12">
        <f>'Session 6'!V2+'Session 6'!V7+'Session 6'!V12+'Session 6'!V17+'Session 6'!V22+'Session 6'!V27+'Session 6'!V32</f>
        <v>0</v>
      </c>
      <c r="W7" s="12">
        <f>'Session 6'!W2+'Session 6'!W7+'Session 6'!W12+'Session 6'!W17+'Session 6'!W22+'Session 6'!W27+'Session 6'!W32</f>
        <v>0</v>
      </c>
      <c r="X7" s="12">
        <f>'Session 6'!X2+'Session 6'!X7+'Session 6'!X12+'Session 6'!X17+'Session 6'!X22+'Session 6'!X27+'Session 6'!X32</f>
        <v>0</v>
      </c>
      <c r="Y7" s="13">
        <f>'Session 6'!Y2+'Session 6'!Y7+'Session 6'!Y12+'Session 6'!Y17+'Session 6'!Y22+'Session 6'!Y27+'Session 6'!Y32</f>
        <v>0</v>
      </c>
      <c r="Z7" s="14">
        <f t="shared" si="1"/>
        <v>0</v>
      </c>
    </row>
    <row r="8" ht="15.75" customHeight="1">
      <c r="A8" s="8" t="s">
        <v>20</v>
      </c>
      <c r="B8" s="15">
        <f>'Session 7'!B2+'Session 7'!B7+'Session 7'!B12+'Session 7'!B17+'Session 7'!B22+'Session 7'!B27+'Session 7'!B32</f>
        <v>0</v>
      </c>
      <c r="C8" s="15">
        <f>'Session 7'!C2+'Session 7'!C7+'Session 7'!C12+'Session 7'!C17+'Session 7'!C22+'Session 7'!C27+'Session 7'!C32</f>
        <v>0</v>
      </c>
      <c r="D8" s="15">
        <f>'Session 7'!D2+'Session 7'!D7+'Session 7'!D12+'Session 7'!D17+'Session 7'!D22+'Session 7'!D27+'Session 7'!D32</f>
        <v>0</v>
      </c>
      <c r="E8" s="15">
        <f>'Session 7'!E2+'Session 7'!E7+'Session 7'!E12+'Session 7'!E17+'Session 7'!E22+'Session 7'!E27+'Session 7'!E32</f>
        <v>0</v>
      </c>
      <c r="F8" s="15">
        <f>'Session 7'!F2+'Session 7'!F7+'Session 7'!F12+'Session 7'!F17+'Session 7'!F22+'Session 7'!F27+'Session 7'!F32</f>
        <v>0</v>
      </c>
      <c r="G8" s="15">
        <f>'Session 7'!G2+'Session 7'!G7+'Session 7'!G12+'Session 7'!G17+'Session 7'!G22+'Session 7'!G27+'Session 7'!G32</f>
        <v>0</v>
      </c>
      <c r="H8" s="15">
        <f>'Session 7'!H2+'Session 7'!H7+'Session 7'!H12+'Session 7'!H17+'Session 7'!H22+'Session 7'!H27+'Session 7'!H32</f>
        <v>0</v>
      </c>
      <c r="I8" s="15">
        <f>'Session 7'!I2+'Session 7'!I7+'Session 7'!I12+'Session 7'!I17+'Session 7'!I22+'Session 7'!I27+'Session 7'!I32</f>
        <v>0</v>
      </c>
      <c r="J8" s="15">
        <f>'Session 7'!J2+'Session 7'!J7+'Session 7'!J12+'Session 7'!J17+'Session 7'!J22+'Session 7'!J27+'Session 7'!J32</f>
        <v>0</v>
      </c>
      <c r="K8" s="15">
        <f>'Session 7'!K2+'Session 7'!K7+'Session 7'!K12+'Session 7'!K17+'Session 7'!K22+'Session 7'!K27+'Session 7'!K32</f>
        <v>0</v>
      </c>
      <c r="L8" s="15">
        <f>'Session 7'!L2+'Session 7'!L7+'Session 7'!L12+'Session 7'!L17+'Session 7'!L22+'Session 7'!L27+'Session 7'!L32</f>
        <v>0</v>
      </c>
      <c r="M8" s="15">
        <f>'Session 7'!M2+'Session 7'!M7+'Session 7'!M12+'Session 7'!M17+'Session 7'!M22+'Session 7'!M27+'Session 7'!M32</f>
        <v>0</v>
      </c>
      <c r="N8" s="15">
        <f>'Session 7'!N2+'Session 7'!N7+'Session 7'!N12+'Session 7'!N17+'Session 7'!N22+'Session 7'!N27+'Session 7'!N32</f>
        <v>0</v>
      </c>
      <c r="O8" s="15">
        <f>'Session 7'!O2+'Session 7'!O7+'Session 7'!O12+'Session 7'!O17+'Session 7'!O22+'Session 7'!O27+'Session 7'!O32</f>
        <v>0</v>
      </c>
      <c r="P8" s="15">
        <f>'Session 7'!P2+'Session 7'!P7+'Session 7'!P12+'Session 7'!P17+'Session 7'!P22+'Session 7'!P27+'Session 7'!P32</f>
        <v>0</v>
      </c>
      <c r="Q8" s="15">
        <f>'Session 7'!Q2+'Session 7'!Q7+'Session 7'!Q12+'Session 7'!Q17+'Session 7'!Q22+'Session 7'!Q27+'Session 7'!Q32</f>
        <v>0</v>
      </c>
      <c r="R8" s="15">
        <f>'Session 7'!R2+'Session 7'!R7+'Session 7'!R12+'Session 7'!R17+'Session 7'!R22+'Session 7'!R27+'Session 7'!R32</f>
        <v>0</v>
      </c>
      <c r="S8" s="15">
        <f>'Session 7'!S2+'Session 7'!S7+'Session 7'!S12+'Session 7'!S17+'Session 7'!S22+'Session 7'!S27+'Session 7'!S32</f>
        <v>0</v>
      </c>
      <c r="T8" s="15">
        <f>'Session 7'!T2+'Session 7'!T7+'Session 7'!T12+'Session 7'!T17+'Session 7'!T22+'Session 7'!T27+'Session 7'!T32</f>
        <v>0</v>
      </c>
      <c r="U8" s="15">
        <f>'Session 7'!U2+'Session 7'!U7+'Session 7'!U12+'Session 7'!U17+'Session 7'!U22+'Session 7'!U27+'Session 7'!U32</f>
        <v>0</v>
      </c>
      <c r="V8" s="15">
        <f>'Session 7'!V2+'Session 7'!V7+'Session 7'!V12+'Session 7'!V17+'Session 7'!V22+'Session 7'!V27+'Session 7'!V32</f>
        <v>0</v>
      </c>
      <c r="W8" s="15">
        <f>'Session 7'!W2+'Session 7'!W7+'Session 7'!W12+'Session 7'!W17+'Session 7'!W22+'Session 7'!W27+'Session 7'!W32</f>
        <v>0</v>
      </c>
      <c r="X8" s="15">
        <f>'Session 7'!X2+'Session 7'!X7+'Session 7'!X12+'Session 7'!X17+'Session 7'!X22+'Session 7'!X27+'Session 7'!X32</f>
        <v>0</v>
      </c>
      <c r="Y8" s="16">
        <f>'Session 7'!Y2+'Session 7'!Y7+'Session 7'!Y12+'Session 7'!Y17+'Session 7'!Y22+'Session 7'!Y27+'Session 7'!Y32</f>
        <v>0</v>
      </c>
      <c r="Z8" s="17">
        <f t="shared" si="1"/>
        <v>0</v>
      </c>
    </row>
    <row r="9">
      <c r="A9" s="8" t="s">
        <v>21</v>
      </c>
      <c r="B9" s="15">
        <f>'Session 8'!B2+'Session 8'!B7+'Session 8'!B12+'Session 8'!B17+'Session 8'!B22+'Session 8'!B27+'Session 8'!B32</f>
        <v>0</v>
      </c>
      <c r="C9" s="15">
        <f>'Session 8'!C2+'Session 8'!C7+'Session 8'!C12+'Session 8'!C17+'Session 8'!C22+'Session 8'!C27+'Session 8'!C32</f>
        <v>0</v>
      </c>
      <c r="D9" s="15">
        <f>'Session 8'!D2+'Session 8'!D7+'Session 8'!D12+'Session 8'!D17+'Session 8'!D22+'Session 8'!D27+'Session 8'!D32</f>
        <v>0</v>
      </c>
      <c r="E9" s="15">
        <f>'Session 8'!E2+'Session 8'!E7+'Session 8'!E12+'Session 8'!E17+'Session 8'!E22+'Session 8'!E27+'Session 8'!E32</f>
        <v>0</v>
      </c>
      <c r="F9" s="15">
        <f>'Session 8'!F2+'Session 8'!F7+'Session 8'!F12+'Session 8'!F17+'Session 8'!F22+'Session 8'!F27+'Session 8'!F32</f>
        <v>0</v>
      </c>
      <c r="G9" s="15">
        <f>'Session 8'!G2+'Session 8'!G7+'Session 8'!G12+'Session 8'!G17+'Session 8'!G22+'Session 8'!G27+'Session 8'!G32</f>
        <v>0</v>
      </c>
      <c r="H9" s="15">
        <f>'Session 8'!H2+'Session 8'!H7+'Session 8'!H12+'Session 8'!H17+'Session 8'!H22+'Session 8'!H27+'Session 8'!H32</f>
        <v>0</v>
      </c>
      <c r="I9" s="15">
        <f>'Session 8'!I2+'Session 8'!I7+'Session 8'!I12+'Session 8'!I17+'Session 8'!I22+'Session 8'!I27+'Session 8'!I32</f>
        <v>0</v>
      </c>
      <c r="J9" s="15">
        <f>'Session 8'!J2+'Session 8'!J7+'Session 8'!J12+'Session 8'!J17+'Session 8'!J22+'Session 8'!J27+'Session 8'!J32</f>
        <v>0</v>
      </c>
      <c r="K9" s="15">
        <f>'Session 8'!K2+'Session 8'!K7+'Session 8'!K12+'Session 8'!K17+'Session 8'!K22+'Session 8'!K27+'Session 8'!K32</f>
        <v>0</v>
      </c>
      <c r="L9" s="15">
        <f>'Session 8'!L2+'Session 8'!L7+'Session 8'!L12+'Session 8'!L17+'Session 8'!L22+'Session 8'!L27+'Session 8'!L32</f>
        <v>0</v>
      </c>
      <c r="M9" s="15">
        <f>'Session 8'!M2+'Session 8'!M7+'Session 8'!M12+'Session 8'!M17+'Session 8'!M22+'Session 8'!M27+'Session 8'!M32</f>
        <v>0</v>
      </c>
      <c r="N9" s="15">
        <f>'Session 8'!N2+'Session 8'!N7+'Session 8'!N12+'Session 8'!N17+'Session 8'!N22+'Session 8'!N27+'Session 8'!N32</f>
        <v>0</v>
      </c>
      <c r="O9" s="15">
        <f>'Session 8'!O2+'Session 8'!O7+'Session 8'!O12+'Session 8'!O17+'Session 8'!O22+'Session 8'!O27+'Session 8'!O32</f>
        <v>0</v>
      </c>
      <c r="P9" s="15">
        <f>'Session 8'!P2+'Session 8'!P7+'Session 8'!P12+'Session 8'!P17+'Session 8'!P22+'Session 8'!P27+'Session 8'!P32</f>
        <v>0</v>
      </c>
      <c r="Q9" s="15">
        <f>'Session 8'!Q2+'Session 8'!Q7+'Session 8'!Q12+'Session 8'!Q17+'Session 8'!Q22+'Session 8'!Q27+'Session 8'!Q32</f>
        <v>0</v>
      </c>
      <c r="R9" s="15">
        <f>'Session 8'!R2+'Session 8'!R7+'Session 8'!R12+'Session 8'!R17+'Session 8'!R22+'Session 8'!R27+'Session 8'!R32</f>
        <v>0</v>
      </c>
      <c r="S9" s="15">
        <f>'Session 8'!S2+'Session 8'!S7+'Session 8'!S12+'Session 8'!S17+'Session 8'!S22+'Session 8'!S27+'Session 8'!S32</f>
        <v>0</v>
      </c>
      <c r="T9" s="15">
        <f>'Session 8'!T2+'Session 8'!T7+'Session 8'!T12+'Session 8'!T17+'Session 8'!T22+'Session 8'!T27+'Session 8'!T32</f>
        <v>0</v>
      </c>
      <c r="U9" s="15">
        <f>'Session 8'!U2+'Session 8'!U7+'Session 8'!U12+'Session 8'!U17+'Session 8'!U22+'Session 8'!U27+'Session 8'!U32</f>
        <v>0</v>
      </c>
      <c r="V9" s="15">
        <f>'Session 8'!V2+'Session 8'!V7+'Session 8'!V12+'Session 8'!V17+'Session 8'!V22+'Session 8'!V27+'Session 8'!V32</f>
        <v>0</v>
      </c>
      <c r="W9" s="15">
        <f>'Session 8'!W2+'Session 8'!W7+'Session 8'!W12+'Session 8'!W17+'Session 8'!W22+'Session 8'!W27+'Session 8'!W32</f>
        <v>0</v>
      </c>
      <c r="X9" s="15">
        <f>'Session 8'!X2+'Session 8'!X7+'Session 8'!X12+'Session 8'!X17+'Session 8'!X22+'Session 8'!X27+'Session 8'!X32</f>
        <v>0</v>
      </c>
      <c r="Y9" s="16">
        <f>'Session 8'!Y2+'Session 8'!Y7+'Session 8'!Y12+'Session 8'!Y17+'Session 8'!Y22+'Session 8'!Y27+'Session 8'!Y32</f>
        <v>0</v>
      </c>
      <c r="Z9" s="17">
        <f t="shared" si="1"/>
        <v>0</v>
      </c>
    </row>
    <row r="10">
      <c r="A10" s="8" t="s">
        <v>22</v>
      </c>
      <c r="B10" s="15">
        <f>'Session 9'!B2+'Session 9'!B7+'Session 9'!B12+'Session 9'!B17+'Session 9'!B22+'Session 9'!B27+'Session 9'!B32</f>
        <v>0</v>
      </c>
      <c r="C10" s="15">
        <f>'Session 9'!C2+'Session 9'!C7+'Session 9'!C12+'Session 9'!C17+'Session 9'!C22+'Session 9'!C27+'Session 9'!C32</f>
        <v>0</v>
      </c>
      <c r="D10" s="15">
        <f>'Session 9'!D2+'Session 9'!D7+'Session 9'!D12+'Session 9'!D17+'Session 9'!D22+'Session 9'!D27+'Session 9'!D32</f>
        <v>0</v>
      </c>
      <c r="E10" s="15">
        <f>'Session 9'!E2+'Session 9'!E7+'Session 9'!E12+'Session 9'!E17+'Session 9'!E22+'Session 9'!E27+'Session 9'!E32</f>
        <v>0</v>
      </c>
      <c r="F10" s="15">
        <f>'Session 9'!F2+'Session 9'!F7+'Session 9'!F12+'Session 9'!F17+'Session 9'!F22+'Session 9'!F27+'Session 9'!F32</f>
        <v>0</v>
      </c>
      <c r="G10" s="15">
        <f>'Session 9'!G2+'Session 9'!G7+'Session 9'!G12+'Session 9'!G17+'Session 9'!G22+'Session 9'!G27+'Session 9'!G32</f>
        <v>0</v>
      </c>
      <c r="H10" s="15">
        <f>'Session 9'!H2+'Session 9'!H7+'Session 9'!H12+'Session 9'!H17+'Session 9'!H22+'Session 9'!H27+'Session 9'!H32</f>
        <v>0</v>
      </c>
      <c r="I10" s="15">
        <f>'Session 9'!I2+'Session 9'!I7+'Session 9'!I12+'Session 9'!I17+'Session 9'!I22+'Session 9'!I27+'Session 9'!I32</f>
        <v>0</v>
      </c>
      <c r="J10" s="15">
        <f>'Session 9'!J2+'Session 9'!J7+'Session 9'!J12+'Session 9'!J17+'Session 9'!J22+'Session 9'!J27+'Session 9'!J32</f>
        <v>0</v>
      </c>
      <c r="K10" s="15">
        <f>'Session 9'!K2+'Session 9'!K7+'Session 9'!K12+'Session 9'!K17+'Session 9'!K22+'Session 9'!K27+'Session 9'!K32</f>
        <v>0</v>
      </c>
      <c r="L10" s="15">
        <f>'Session 9'!L2+'Session 9'!L7+'Session 9'!L12+'Session 9'!L17+'Session 9'!L22+'Session 9'!L27+'Session 9'!L32</f>
        <v>0</v>
      </c>
      <c r="M10" s="15">
        <f>'Session 9'!M2+'Session 9'!M7+'Session 9'!M12+'Session 9'!M17+'Session 9'!M22+'Session 9'!M27+'Session 9'!M32</f>
        <v>0</v>
      </c>
      <c r="N10" s="15">
        <f>'Session 9'!N2+'Session 9'!N7+'Session 9'!N12+'Session 9'!N17+'Session 9'!N22+'Session 9'!N27+'Session 9'!N32</f>
        <v>0</v>
      </c>
      <c r="O10" s="15">
        <f>'Session 9'!O2+'Session 9'!O7+'Session 9'!O12+'Session 9'!O17+'Session 9'!O22+'Session 9'!O27+'Session 9'!O32</f>
        <v>0</v>
      </c>
      <c r="P10" s="15">
        <f>'Session 9'!P2+'Session 9'!P7+'Session 9'!P12+'Session 9'!P17+'Session 9'!P22+'Session 9'!P27+'Session 9'!P32</f>
        <v>0</v>
      </c>
      <c r="Q10" s="15">
        <f>'Session 9'!Q2+'Session 9'!Q7+'Session 9'!Q12+'Session 9'!Q17+'Session 9'!Q22+'Session 9'!Q27+'Session 9'!Q32</f>
        <v>0</v>
      </c>
      <c r="R10" s="15">
        <f>'Session 9'!R2+'Session 9'!R7+'Session 9'!R12+'Session 9'!R17+'Session 9'!R22+'Session 9'!R27+'Session 9'!R32</f>
        <v>0</v>
      </c>
      <c r="S10" s="15">
        <f>'Session 9'!S2+'Session 9'!S7+'Session 9'!S12+'Session 9'!S17+'Session 9'!S22+'Session 9'!S27+'Session 9'!S32</f>
        <v>0</v>
      </c>
      <c r="T10" s="15">
        <f>'Session 9'!T2+'Session 9'!T7+'Session 9'!T12+'Session 9'!T17+'Session 9'!T22+'Session 9'!T27+'Session 9'!T32</f>
        <v>0</v>
      </c>
      <c r="U10" s="15">
        <f>'Session 9'!U2+'Session 9'!U7+'Session 9'!U12+'Session 9'!U17+'Session 9'!U22+'Session 9'!U27+'Session 9'!U32</f>
        <v>0</v>
      </c>
      <c r="V10" s="15">
        <f>'Session 9'!V2+'Session 9'!V7+'Session 9'!V12+'Session 9'!V17+'Session 9'!V22+'Session 9'!V27+'Session 9'!V32</f>
        <v>0</v>
      </c>
      <c r="W10" s="15">
        <f>'Session 9'!W2+'Session 9'!W7+'Session 9'!W12+'Session 9'!W17+'Session 9'!W22+'Session 9'!W27+'Session 9'!W32</f>
        <v>0</v>
      </c>
      <c r="X10" s="15">
        <f>'Session 9'!X2+'Session 9'!X7+'Session 9'!X12+'Session 9'!X17+'Session 9'!X22+'Session 9'!X27+'Session 9'!X32</f>
        <v>0</v>
      </c>
      <c r="Y10" s="16">
        <f>'Session 9'!Y2+'Session 9'!Y7+'Session 9'!Y12+'Session 9'!Y17+'Session 9'!Y22+'Session 9'!Y27+'Session 9'!Y32</f>
        <v>0</v>
      </c>
      <c r="Z10" s="17">
        <f t="shared" si="1"/>
        <v>0</v>
      </c>
    </row>
    <row r="11">
      <c r="A11" s="18" t="s">
        <v>23</v>
      </c>
      <c r="B11" s="15">
        <f>'Session 10'!B2+'Session 10'!B7+'Session 10'!B12+'Session 10'!B17+'Session 10'!B22+'Session 10'!B27+'Session 10'!B32</f>
        <v>0</v>
      </c>
      <c r="C11" s="15">
        <f>'Session 10'!C2+'Session 10'!C7+'Session 10'!C12+'Session 10'!C17+'Session 10'!C22+'Session 10'!C27+'Session 10'!C32</f>
        <v>0</v>
      </c>
      <c r="D11" s="15">
        <f>'Session 10'!D2+'Session 10'!D7+'Session 10'!D12+'Session 10'!D17+'Session 10'!D22+'Session 10'!D27+'Session 10'!D32</f>
        <v>0</v>
      </c>
      <c r="E11" s="15">
        <f>'Session 10'!E2+'Session 10'!E7+'Session 10'!E12+'Session 10'!E17+'Session 10'!E22+'Session 10'!E27+'Session 10'!E32</f>
        <v>0</v>
      </c>
      <c r="F11" s="15">
        <f>'Session 10'!F2+'Session 10'!F7+'Session 10'!F12+'Session 10'!F17+'Session 10'!F22+'Session 10'!F27+'Session 10'!F32</f>
        <v>0</v>
      </c>
      <c r="G11" s="15">
        <f>'Session 10'!G2+'Session 10'!G7+'Session 10'!G12+'Session 10'!G17+'Session 10'!G22+'Session 10'!G27+'Session 10'!G32</f>
        <v>0</v>
      </c>
      <c r="H11" s="15">
        <f>'Session 10'!H2+'Session 10'!H7+'Session 10'!H12+'Session 10'!H17+'Session 10'!H22+'Session 10'!H27+'Session 10'!H32</f>
        <v>0</v>
      </c>
      <c r="I11" s="15">
        <f>'Session 10'!I2+'Session 10'!I7+'Session 10'!I12+'Session 10'!I17+'Session 10'!I22+'Session 10'!I27+'Session 10'!I32</f>
        <v>0</v>
      </c>
      <c r="J11" s="15">
        <f>'Session 10'!J2+'Session 10'!J7+'Session 10'!J12+'Session 10'!J17+'Session 10'!J22+'Session 10'!J27+'Session 10'!J32</f>
        <v>0</v>
      </c>
      <c r="K11" s="15">
        <f>'Session 10'!K2+'Session 10'!K7+'Session 10'!K12+'Session 10'!K17+'Session 10'!K22+'Session 10'!K27+'Session 10'!K32</f>
        <v>0</v>
      </c>
      <c r="L11" s="15">
        <f>'Session 10'!L2+'Session 10'!L7+'Session 10'!L12+'Session 10'!L17+'Session 10'!L22+'Session 10'!L27+'Session 10'!L32</f>
        <v>0</v>
      </c>
      <c r="M11" s="15">
        <f>'Session 10'!M2+'Session 10'!M7+'Session 10'!M12+'Session 10'!M17+'Session 10'!M22+'Session 10'!M27+'Session 10'!M32</f>
        <v>0</v>
      </c>
      <c r="N11" s="15">
        <f>'Session 10'!N2+'Session 10'!N7+'Session 10'!N12+'Session 10'!N17+'Session 10'!N22+'Session 10'!N27+'Session 10'!N32</f>
        <v>0</v>
      </c>
      <c r="O11" s="15">
        <f>'Session 10'!O2+'Session 10'!O7+'Session 10'!O12+'Session 10'!O17+'Session 10'!O22+'Session 10'!O27+'Session 10'!O32</f>
        <v>0</v>
      </c>
      <c r="P11" s="15">
        <f>'Session 10'!P2+'Session 10'!P7+'Session 10'!P12+'Session 10'!P17+'Session 10'!P22+'Session 10'!P27+'Session 10'!P32</f>
        <v>0</v>
      </c>
      <c r="Q11" s="15">
        <f>'Session 10'!Q2+'Session 10'!Q7+'Session 10'!Q12+'Session 10'!Q17+'Session 10'!Q22+'Session 10'!Q27+'Session 10'!Q32</f>
        <v>0</v>
      </c>
      <c r="R11" s="15">
        <f>'Session 10'!R2+'Session 10'!R7+'Session 10'!R12+'Session 10'!R17+'Session 10'!R22+'Session 10'!R27+'Session 10'!R32</f>
        <v>0</v>
      </c>
      <c r="S11" s="15">
        <f>'Session 10'!S2+'Session 10'!S7+'Session 10'!S12+'Session 10'!S17+'Session 10'!S22+'Session 10'!S27+'Session 10'!S32</f>
        <v>0</v>
      </c>
      <c r="T11" s="15">
        <f>'Session 10'!T2+'Session 10'!T7+'Session 10'!T12+'Session 10'!T17+'Session 10'!T22+'Session 10'!T27+'Session 10'!T32</f>
        <v>0</v>
      </c>
      <c r="U11" s="15">
        <f>'Session 10'!U2+'Session 10'!U7+'Session 10'!U12+'Session 10'!U17+'Session 10'!U22+'Session 10'!U27+'Session 10'!U32</f>
        <v>0</v>
      </c>
      <c r="V11" s="15">
        <f>'Session 10'!V2+'Session 10'!V7+'Session 10'!V12+'Session 10'!V17+'Session 10'!V22+'Session 10'!V27+'Session 10'!V32</f>
        <v>0</v>
      </c>
      <c r="W11" s="15">
        <f>'Session 10'!W2+'Session 10'!W7+'Session 10'!W12+'Session 10'!W17+'Session 10'!W22+'Session 10'!W27+'Session 10'!W32</f>
        <v>0</v>
      </c>
      <c r="X11" s="15">
        <f>'Session 10'!X2+'Session 10'!X7+'Session 10'!X12+'Session 10'!X17+'Session 10'!X22+'Session 10'!X27+'Session 10'!X32</f>
        <v>0</v>
      </c>
      <c r="Y11" s="16">
        <f>'Session 10'!Y2+'Session 10'!Y7+'Session 10'!Y12+'Session 10'!Y17+'Session 10'!Y22+'Session 10'!Y27+'Session 10'!Y32</f>
        <v>0</v>
      </c>
      <c r="Z11" s="17">
        <f t="shared" si="1"/>
        <v>0</v>
      </c>
    </row>
    <row r="12">
      <c r="A12" s="8" t="s">
        <v>24</v>
      </c>
      <c r="B12" s="19">
        <f t="shared" ref="B12:Y12" si="2">SUM(B2:B11)</f>
        <v>37.5</v>
      </c>
      <c r="C12" s="19">
        <f t="shared" si="2"/>
        <v>45</v>
      </c>
      <c r="D12" s="19">
        <f t="shared" si="2"/>
        <v>-12.5</v>
      </c>
      <c r="E12" s="19">
        <f t="shared" si="2"/>
        <v>-10</v>
      </c>
      <c r="F12" s="19">
        <f t="shared" si="2"/>
        <v>-22.5</v>
      </c>
      <c r="G12" s="19">
        <f t="shared" si="2"/>
        <v>-22.5</v>
      </c>
      <c r="H12" s="19">
        <f t="shared" si="2"/>
        <v>35</v>
      </c>
      <c r="I12" s="19">
        <f t="shared" si="2"/>
        <v>-12.5</v>
      </c>
      <c r="J12" s="19">
        <f t="shared" si="2"/>
        <v>-12.5</v>
      </c>
      <c r="K12" s="19">
        <f t="shared" si="2"/>
        <v>0</v>
      </c>
      <c r="L12" s="19">
        <f t="shared" si="2"/>
        <v>0</v>
      </c>
      <c r="M12" s="19">
        <f t="shared" si="2"/>
        <v>0</v>
      </c>
      <c r="N12" s="19">
        <f t="shared" si="2"/>
        <v>0</v>
      </c>
      <c r="O12" s="19">
        <f t="shared" si="2"/>
        <v>0</v>
      </c>
      <c r="P12" s="19">
        <f t="shared" si="2"/>
        <v>0</v>
      </c>
      <c r="Q12" s="19">
        <f t="shared" si="2"/>
        <v>0</v>
      </c>
      <c r="R12" s="19">
        <f t="shared" si="2"/>
        <v>0</v>
      </c>
      <c r="S12" s="19">
        <f t="shared" si="2"/>
        <v>0</v>
      </c>
      <c r="T12" s="19">
        <f t="shared" si="2"/>
        <v>0</v>
      </c>
      <c r="U12" s="19">
        <f t="shared" si="2"/>
        <v>0</v>
      </c>
      <c r="V12" s="19">
        <f t="shared" si="2"/>
        <v>0</v>
      </c>
      <c r="W12" s="19">
        <f t="shared" si="2"/>
        <v>0</v>
      </c>
      <c r="X12" s="19">
        <f t="shared" si="2"/>
        <v>0</v>
      </c>
      <c r="Y12" s="20">
        <f t="shared" si="2"/>
        <v>0</v>
      </c>
      <c r="Z12" s="21">
        <f t="shared" si="1"/>
        <v>25</v>
      </c>
    </row>
    <row r="13">
      <c r="A13" s="8" t="s">
        <v>25</v>
      </c>
      <c r="B13" s="22">
        <v>360.0</v>
      </c>
      <c r="C13" s="23">
        <v>1783.0</v>
      </c>
      <c r="D13" s="23">
        <v>2139.0</v>
      </c>
      <c r="E13" s="23"/>
      <c r="F13" s="23">
        <v>630.0</v>
      </c>
      <c r="G13" s="23">
        <v>1386.0</v>
      </c>
      <c r="H13" s="23">
        <v>1826.0</v>
      </c>
      <c r="I13" s="23">
        <v>411.0</v>
      </c>
      <c r="J13" s="23">
        <v>1197.0</v>
      </c>
      <c r="K13" s="23"/>
      <c r="L13" s="23"/>
      <c r="M13" s="23"/>
      <c r="N13" s="23"/>
      <c r="O13" s="23"/>
      <c r="P13" s="23"/>
      <c r="Q13" s="24"/>
      <c r="R13" s="24"/>
      <c r="S13" s="24"/>
      <c r="T13" s="24"/>
      <c r="U13" s="24"/>
      <c r="V13" s="24"/>
      <c r="W13" s="24"/>
      <c r="X13" s="24"/>
      <c r="Y13" s="25"/>
      <c r="Z13" s="26"/>
    </row>
    <row r="14">
      <c r="B14" s="27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5"/>
      <c r="Z14" s="28"/>
    </row>
    <row r="15">
      <c r="A15" s="29" t="s">
        <v>26</v>
      </c>
      <c r="B15" s="30">
        <f t="shared" ref="B15:Y15" si="3">B13/100+B12</f>
        <v>41.1</v>
      </c>
      <c r="C15" s="30">
        <f t="shared" si="3"/>
        <v>62.83</v>
      </c>
      <c r="D15" s="30">
        <f t="shared" si="3"/>
        <v>8.89</v>
      </c>
      <c r="E15" s="30">
        <f t="shared" si="3"/>
        <v>-10</v>
      </c>
      <c r="F15" s="30">
        <f t="shared" si="3"/>
        <v>-16.2</v>
      </c>
      <c r="G15" s="30">
        <f t="shared" si="3"/>
        <v>-8.64</v>
      </c>
      <c r="H15" s="30">
        <f t="shared" si="3"/>
        <v>53.26</v>
      </c>
      <c r="I15" s="30">
        <f t="shared" si="3"/>
        <v>-8.39</v>
      </c>
      <c r="J15" s="30">
        <f t="shared" si="3"/>
        <v>-0.53</v>
      </c>
      <c r="K15" s="30">
        <f t="shared" si="3"/>
        <v>0</v>
      </c>
      <c r="L15" s="30">
        <f t="shared" si="3"/>
        <v>0</v>
      </c>
      <c r="M15" s="30">
        <f t="shared" si="3"/>
        <v>0</v>
      </c>
      <c r="N15" s="30">
        <f t="shared" si="3"/>
        <v>0</v>
      </c>
      <c r="O15" s="30">
        <f t="shared" si="3"/>
        <v>0</v>
      </c>
      <c r="P15" s="30">
        <f t="shared" si="3"/>
        <v>0</v>
      </c>
      <c r="Q15" s="30">
        <f t="shared" si="3"/>
        <v>0</v>
      </c>
      <c r="R15" s="30">
        <f t="shared" si="3"/>
        <v>0</v>
      </c>
      <c r="S15" s="30">
        <f t="shared" si="3"/>
        <v>0</v>
      </c>
      <c r="T15" s="30">
        <f t="shared" si="3"/>
        <v>0</v>
      </c>
      <c r="U15" s="30">
        <f t="shared" si="3"/>
        <v>0</v>
      </c>
      <c r="V15" s="30">
        <f t="shared" si="3"/>
        <v>0</v>
      </c>
      <c r="W15" s="30">
        <f t="shared" si="3"/>
        <v>0</v>
      </c>
      <c r="X15" s="30">
        <f t="shared" si="3"/>
        <v>0</v>
      </c>
      <c r="Y15" s="31">
        <f t="shared" si="3"/>
        <v>0</v>
      </c>
      <c r="Z15" s="32">
        <f>SUM(B15:Y15)</f>
        <v>122.32</v>
      </c>
    </row>
  </sheetData>
  <conditionalFormatting sqref="B2:Z15">
    <cfRule type="cellIs" dxfId="0" priority="1" operator="equal">
      <formula>0</formula>
    </cfRule>
  </conditionalFormatting>
  <conditionalFormatting sqref="B2:Y2">
    <cfRule type="colorScale" priority="2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conditionalFormatting sqref="B15:Y15">
    <cfRule type="colorScale" priority="3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conditionalFormatting sqref="B12:Y12">
    <cfRule type="colorScale" priority="4">
      <colorScale>
        <cfvo type="min"/>
        <cfvo type="formula" val="0"/>
        <cfvo type="max"/>
        <color rgb="FFE06666"/>
        <color rgb="FFFFFFFF"/>
        <color rgb="FF93C47D"/>
      </colorScale>
    </cfRule>
  </conditionalFormatting>
  <conditionalFormatting sqref="B13:Y13">
    <cfRule type="colorScale" priority="5">
      <colorScale>
        <cfvo type="percent" val="0"/>
        <cfvo type="formula" val="0"/>
        <cfvo type="percent" val="100"/>
        <color rgb="FFE06666"/>
        <color rgb="FFFFFFFF"/>
        <color rgb="FF93C47D"/>
      </colorScale>
    </cfRule>
  </conditionalFormatting>
  <conditionalFormatting sqref="B3:Y3">
    <cfRule type="colorScale" priority="6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conditionalFormatting sqref="B4:Y4">
    <cfRule type="colorScale" priority="7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conditionalFormatting sqref="B5:Y5">
    <cfRule type="colorScale" priority="8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conditionalFormatting sqref="B6:Y6">
    <cfRule type="colorScale" priority="9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conditionalFormatting sqref="B7:Y7">
    <cfRule type="colorScale" priority="10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conditionalFormatting sqref="B8:Y8">
    <cfRule type="colorScale" priority="11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conditionalFormatting sqref="B9:Y9">
    <cfRule type="colorScale" priority="12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conditionalFormatting sqref="B10:Y10">
    <cfRule type="colorScale" priority="13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conditionalFormatting sqref="B11:Y11">
    <cfRule type="colorScale" priority="14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conditionalFormatting sqref="Z2:Z11">
    <cfRule type="colorScale" priority="15">
      <colorScale>
        <cfvo type="percent" val="0"/>
        <cfvo type="percentile" val="50"/>
        <cfvo type="percent" val="100"/>
        <color rgb="FFE06666"/>
        <color rgb="FFFFFFFF"/>
        <color rgb="FF93C47D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33" t="str">
        <f>'Total Score'!B1</f>
        <v>Llama</v>
      </c>
      <c r="C1" s="33" t="str">
        <f>'Total Score'!C1</f>
        <v>Nic</v>
      </c>
      <c r="D1" s="33" t="str">
        <f>'Total Score'!D1</f>
        <v>Taank</v>
      </c>
      <c r="E1" s="33" t="str">
        <f>'Total Score'!E1</f>
        <v>Elephant</v>
      </c>
      <c r="F1" s="33" t="str">
        <f>'Total Score'!F1</f>
        <v>Jorg</v>
      </c>
      <c r="G1" s="33" t="str">
        <f>'Total Score'!G1</f>
        <v>Deadlock</v>
      </c>
      <c r="H1" s="33" t="str">
        <f>'Total Score'!H1</f>
        <v>Veil</v>
      </c>
      <c r="I1" s="33" t="str">
        <f>'Total Score'!I1</f>
        <v>Arch</v>
      </c>
      <c r="J1" s="33" t="str">
        <f>'Total Score'!J1</f>
        <v>Winter</v>
      </c>
      <c r="K1" s="33" t="str">
        <f>'Total Score'!K1</f>
        <v/>
      </c>
      <c r="L1" s="33" t="str">
        <f>'Total Score'!L1</f>
        <v/>
      </c>
      <c r="M1" s="33" t="str">
        <f>'Total Score'!M1</f>
        <v/>
      </c>
      <c r="N1" s="33" t="str">
        <f>'Total Score'!N1</f>
        <v/>
      </c>
      <c r="O1" s="33" t="str">
        <f>'Total Score'!O1</f>
        <v/>
      </c>
      <c r="P1" s="33" t="str">
        <f>'Total Score'!P1</f>
        <v/>
      </c>
      <c r="Q1" s="33" t="str">
        <f>'Total Score'!Q1</f>
        <v/>
      </c>
      <c r="R1" s="33" t="str">
        <f>'Total Score'!R1</f>
        <v/>
      </c>
      <c r="S1" s="33" t="str">
        <f>'Total Score'!S1</f>
        <v/>
      </c>
      <c r="T1" s="33" t="str">
        <f>'Total Score'!T1</f>
        <v/>
      </c>
      <c r="U1" s="33" t="str">
        <f>'Total Score'!U1</f>
        <v/>
      </c>
      <c r="V1" s="33" t="str">
        <f>'Total Score'!V1</f>
        <v/>
      </c>
      <c r="W1" s="33" t="str">
        <f>'Total Score'!W1</f>
        <v/>
      </c>
      <c r="X1" s="33" t="str">
        <f>'Total Score'!X1</f>
        <v/>
      </c>
      <c r="Y1" s="33" t="str">
        <f>'Total Score'!Y1</f>
        <v/>
      </c>
    </row>
    <row r="2">
      <c r="A2" s="34" t="s">
        <v>27</v>
      </c>
      <c r="B2" s="35">
        <f t="shared" ref="B2:Y2" si="1">IFERROR(10*B3*B5/(B4+1)+10*(B5-1)*((B4+1)/(2*B3)), 2*B6*(2*B5-1))</f>
        <v>20</v>
      </c>
      <c r="C2" s="36">
        <f t="shared" si="1"/>
        <v>0</v>
      </c>
      <c r="D2" s="35">
        <f t="shared" si="1"/>
        <v>0</v>
      </c>
      <c r="E2" s="35">
        <f t="shared" si="1"/>
        <v>-10</v>
      </c>
      <c r="F2" s="35">
        <f t="shared" si="1"/>
        <v>-10</v>
      </c>
      <c r="G2" s="35">
        <f t="shared" si="1"/>
        <v>0</v>
      </c>
      <c r="H2" s="36">
        <f t="shared" si="1"/>
        <v>0</v>
      </c>
      <c r="I2" s="36">
        <f t="shared" si="1"/>
        <v>0</v>
      </c>
      <c r="J2" s="37">
        <f t="shared" si="1"/>
        <v>0</v>
      </c>
      <c r="K2" s="35">
        <f t="shared" si="1"/>
        <v>0</v>
      </c>
      <c r="L2" s="35">
        <f t="shared" si="1"/>
        <v>0</v>
      </c>
      <c r="M2" s="35">
        <f t="shared" si="1"/>
        <v>0</v>
      </c>
      <c r="N2" s="35">
        <f t="shared" si="1"/>
        <v>0</v>
      </c>
      <c r="O2" s="35">
        <f t="shared" si="1"/>
        <v>0</v>
      </c>
      <c r="P2" s="35">
        <f t="shared" si="1"/>
        <v>0</v>
      </c>
      <c r="Q2" s="35">
        <f t="shared" si="1"/>
        <v>0</v>
      </c>
      <c r="R2" s="35">
        <f t="shared" si="1"/>
        <v>0</v>
      </c>
      <c r="S2" s="35">
        <f t="shared" si="1"/>
        <v>0</v>
      </c>
      <c r="T2" s="36">
        <f t="shared" si="1"/>
        <v>0</v>
      </c>
      <c r="U2" s="35">
        <f t="shared" si="1"/>
        <v>0</v>
      </c>
      <c r="V2" s="35">
        <f t="shared" si="1"/>
        <v>0</v>
      </c>
      <c r="W2" s="35">
        <f t="shared" si="1"/>
        <v>0</v>
      </c>
      <c r="X2" s="35">
        <f t="shared" si="1"/>
        <v>0</v>
      </c>
      <c r="Y2" s="35">
        <f t="shared" si="1"/>
        <v>0</v>
      </c>
    </row>
    <row r="3">
      <c r="A3" s="38" t="s">
        <v>28</v>
      </c>
      <c r="B3" s="8">
        <v>2.0</v>
      </c>
      <c r="E3" s="8">
        <v>1.0</v>
      </c>
      <c r="F3" s="8">
        <v>1.0</v>
      </c>
    </row>
    <row r="4">
      <c r="A4" s="8" t="s">
        <v>29</v>
      </c>
      <c r="E4" s="8">
        <v>1.0</v>
      </c>
      <c r="F4" s="8">
        <v>1.0</v>
      </c>
    </row>
    <row r="5">
      <c r="A5" s="8" t="s">
        <v>30</v>
      </c>
      <c r="B5" s="8">
        <v>1.0</v>
      </c>
    </row>
    <row r="6">
      <c r="A6" s="18" t="s">
        <v>31</v>
      </c>
      <c r="C6" s="18"/>
      <c r="D6" s="18"/>
      <c r="E6" s="39"/>
      <c r="F6" s="39"/>
      <c r="G6" s="18"/>
      <c r="H6" s="1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34" t="s">
        <v>32</v>
      </c>
      <c r="B7" s="40">
        <f t="shared" ref="B7:Y7" si="2">IFERROR(10*B8*B10/(B9+1)+10*(B10-1)*((B9+1)/(2*B8)), 2*B11*(2*B10-1))</f>
        <v>0</v>
      </c>
      <c r="C7" s="40">
        <f t="shared" si="2"/>
        <v>-5</v>
      </c>
      <c r="D7" s="40">
        <f t="shared" si="2"/>
        <v>10</v>
      </c>
      <c r="E7" s="40">
        <f t="shared" si="2"/>
        <v>0</v>
      </c>
      <c r="F7" s="40">
        <f t="shared" si="2"/>
        <v>0</v>
      </c>
      <c r="G7" s="40">
        <f t="shared" si="2"/>
        <v>0</v>
      </c>
      <c r="H7" s="40">
        <f t="shared" si="2"/>
        <v>0</v>
      </c>
      <c r="I7" s="40">
        <f t="shared" si="2"/>
        <v>0</v>
      </c>
      <c r="J7" s="40">
        <f t="shared" si="2"/>
        <v>0</v>
      </c>
      <c r="K7" s="40">
        <f t="shared" si="2"/>
        <v>0</v>
      </c>
      <c r="L7" s="40">
        <f t="shared" si="2"/>
        <v>0</v>
      </c>
      <c r="M7" s="40">
        <f t="shared" si="2"/>
        <v>0</v>
      </c>
      <c r="N7" s="40">
        <f t="shared" si="2"/>
        <v>0</v>
      </c>
      <c r="O7" s="40">
        <f t="shared" si="2"/>
        <v>0</v>
      </c>
      <c r="P7" s="40">
        <f t="shared" si="2"/>
        <v>0</v>
      </c>
      <c r="Q7" s="40">
        <f t="shared" si="2"/>
        <v>0</v>
      </c>
      <c r="R7" s="40">
        <f t="shared" si="2"/>
        <v>0</v>
      </c>
      <c r="S7" s="40">
        <f t="shared" si="2"/>
        <v>0</v>
      </c>
      <c r="T7" s="40">
        <f t="shared" si="2"/>
        <v>0</v>
      </c>
      <c r="U7" s="40">
        <f t="shared" si="2"/>
        <v>0</v>
      </c>
      <c r="V7" s="40">
        <f t="shared" si="2"/>
        <v>0</v>
      </c>
      <c r="W7" s="40">
        <f t="shared" si="2"/>
        <v>0</v>
      </c>
      <c r="X7" s="40">
        <f t="shared" si="2"/>
        <v>0</v>
      </c>
      <c r="Y7" s="40">
        <f t="shared" si="2"/>
        <v>0</v>
      </c>
    </row>
    <row r="8">
      <c r="A8" s="38" t="s">
        <v>28</v>
      </c>
      <c r="C8" s="8">
        <v>1.0</v>
      </c>
      <c r="D8" s="8">
        <v>1.0</v>
      </c>
    </row>
    <row r="9">
      <c r="A9" s="8" t="s">
        <v>29</v>
      </c>
    </row>
    <row r="10">
      <c r="A10" s="8" t="s">
        <v>30</v>
      </c>
      <c r="D10" s="8">
        <v>1.0</v>
      </c>
    </row>
    <row r="11">
      <c r="A11" s="18" t="s">
        <v>31</v>
      </c>
      <c r="B11" s="18"/>
      <c r="C11" s="18"/>
      <c r="D11" s="18"/>
      <c r="E11" s="39"/>
      <c r="F11" s="39"/>
      <c r="G11" s="18"/>
      <c r="H11" s="1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34" t="s">
        <v>33</v>
      </c>
      <c r="B12" s="40">
        <f t="shared" ref="B12:Y12" si="3">IFERROR(10*B13*B15/(B14+1)+10*(B15-1)*((B14+1)/(2*B13)), 2*B16*(2*B15-1))</f>
        <v>0</v>
      </c>
      <c r="C12" s="40">
        <f t="shared" si="3"/>
        <v>0</v>
      </c>
      <c r="D12" s="40">
        <f t="shared" si="3"/>
        <v>0</v>
      </c>
      <c r="E12" s="40">
        <f t="shared" si="3"/>
        <v>0</v>
      </c>
      <c r="F12" s="40">
        <f t="shared" si="3"/>
        <v>0</v>
      </c>
      <c r="G12" s="40">
        <f t="shared" si="3"/>
        <v>0</v>
      </c>
      <c r="H12" s="40">
        <f t="shared" si="3"/>
        <v>0</v>
      </c>
      <c r="I12" s="40">
        <f t="shared" si="3"/>
        <v>0</v>
      </c>
      <c r="J12" s="40">
        <f t="shared" si="3"/>
        <v>0</v>
      </c>
      <c r="K12" s="40">
        <f t="shared" si="3"/>
        <v>0</v>
      </c>
      <c r="L12" s="40">
        <f t="shared" si="3"/>
        <v>0</v>
      </c>
      <c r="M12" s="40">
        <f t="shared" si="3"/>
        <v>0</v>
      </c>
      <c r="N12" s="40">
        <f t="shared" si="3"/>
        <v>0</v>
      </c>
      <c r="O12" s="40">
        <f t="shared" si="3"/>
        <v>0</v>
      </c>
      <c r="P12" s="40">
        <f t="shared" si="3"/>
        <v>0</v>
      </c>
      <c r="Q12" s="40">
        <f t="shared" si="3"/>
        <v>0</v>
      </c>
      <c r="R12" s="40">
        <f t="shared" si="3"/>
        <v>0</v>
      </c>
      <c r="S12" s="40">
        <f t="shared" si="3"/>
        <v>0</v>
      </c>
      <c r="T12" s="40">
        <f t="shared" si="3"/>
        <v>0</v>
      </c>
      <c r="U12" s="40">
        <f t="shared" si="3"/>
        <v>0</v>
      </c>
      <c r="V12" s="40">
        <f t="shared" si="3"/>
        <v>0</v>
      </c>
      <c r="W12" s="40">
        <f t="shared" si="3"/>
        <v>0</v>
      </c>
      <c r="X12" s="40">
        <f t="shared" si="3"/>
        <v>0</v>
      </c>
      <c r="Y12" s="40">
        <f t="shared" si="3"/>
        <v>0</v>
      </c>
    </row>
    <row r="13">
      <c r="A13" s="38" t="s">
        <v>28</v>
      </c>
    </row>
    <row r="14">
      <c r="A14" s="8" t="s">
        <v>29</v>
      </c>
    </row>
    <row r="15">
      <c r="A15" s="8" t="s">
        <v>30</v>
      </c>
    </row>
    <row r="16">
      <c r="A16" s="18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34" t="s">
        <v>34</v>
      </c>
      <c r="B17" s="40">
        <f t="shared" ref="B17:Y17" si="4">IFERROR(10*B18*B20/(B19+1)+10*(B20-1)*((B19+1)/(2*B18)), 2*B21*(2*B20-1))</f>
        <v>0</v>
      </c>
      <c r="C17" s="40">
        <f t="shared" si="4"/>
        <v>0</v>
      </c>
      <c r="D17" s="40">
        <f t="shared" si="4"/>
        <v>0</v>
      </c>
      <c r="E17" s="40">
        <f t="shared" si="4"/>
        <v>0</v>
      </c>
      <c r="F17" s="40">
        <f t="shared" si="4"/>
        <v>0</v>
      </c>
      <c r="G17" s="40">
        <f t="shared" si="4"/>
        <v>0</v>
      </c>
      <c r="H17" s="40">
        <f t="shared" si="4"/>
        <v>0</v>
      </c>
      <c r="I17" s="40">
        <f t="shared" si="4"/>
        <v>0</v>
      </c>
      <c r="J17" s="40">
        <f t="shared" si="4"/>
        <v>0</v>
      </c>
      <c r="K17" s="40">
        <f t="shared" si="4"/>
        <v>0</v>
      </c>
      <c r="L17" s="40">
        <f t="shared" si="4"/>
        <v>0</v>
      </c>
      <c r="M17" s="40">
        <f t="shared" si="4"/>
        <v>0</v>
      </c>
      <c r="N17" s="40">
        <f t="shared" si="4"/>
        <v>0</v>
      </c>
      <c r="O17" s="40">
        <f t="shared" si="4"/>
        <v>0</v>
      </c>
      <c r="P17" s="40">
        <f t="shared" si="4"/>
        <v>0</v>
      </c>
      <c r="Q17" s="40">
        <f t="shared" si="4"/>
        <v>0</v>
      </c>
      <c r="R17" s="40">
        <f t="shared" si="4"/>
        <v>0</v>
      </c>
      <c r="S17" s="40">
        <f t="shared" si="4"/>
        <v>0</v>
      </c>
      <c r="T17" s="40">
        <f t="shared" si="4"/>
        <v>0</v>
      </c>
      <c r="U17" s="40">
        <f t="shared" si="4"/>
        <v>0</v>
      </c>
      <c r="V17" s="40">
        <f t="shared" si="4"/>
        <v>0</v>
      </c>
      <c r="W17" s="40">
        <f t="shared" si="4"/>
        <v>0</v>
      </c>
      <c r="X17" s="40">
        <f t="shared" si="4"/>
        <v>0</v>
      </c>
      <c r="Y17" s="40">
        <f t="shared" si="4"/>
        <v>0</v>
      </c>
    </row>
    <row r="18">
      <c r="A18" s="38" t="s">
        <v>28</v>
      </c>
    </row>
    <row r="19">
      <c r="A19" s="8" t="s">
        <v>29</v>
      </c>
    </row>
    <row r="20">
      <c r="A20" s="8" t="s">
        <v>30</v>
      </c>
    </row>
    <row r="21">
      <c r="A21" s="18" t="s">
        <v>31</v>
      </c>
      <c r="B21" s="18"/>
      <c r="C21" s="18"/>
      <c r="D21" s="18"/>
      <c r="E21" s="39"/>
      <c r="F21" s="39"/>
      <c r="G21" s="18"/>
      <c r="H21" s="1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34" t="s">
        <v>35</v>
      </c>
      <c r="B22" s="40">
        <f t="shared" ref="B22:Y22" si="5">IFERROR(10*B23*B25/(B24+1)+10*(B25-1)*((B24+1)/(2*B23)), 2*B26*(2*B25-1))</f>
        <v>0</v>
      </c>
      <c r="C22" s="40">
        <f t="shared" si="5"/>
        <v>0</v>
      </c>
      <c r="D22" s="40">
        <f t="shared" si="5"/>
        <v>0</v>
      </c>
      <c r="E22" s="40">
        <f t="shared" si="5"/>
        <v>0</v>
      </c>
      <c r="F22" s="40">
        <f t="shared" si="5"/>
        <v>0</v>
      </c>
      <c r="G22" s="40">
        <f t="shared" si="5"/>
        <v>0</v>
      </c>
      <c r="H22" s="40">
        <f t="shared" si="5"/>
        <v>0</v>
      </c>
      <c r="I22" s="40">
        <f t="shared" si="5"/>
        <v>0</v>
      </c>
      <c r="J22" s="40">
        <f t="shared" si="5"/>
        <v>0</v>
      </c>
      <c r="K22" s="40">
        <f t="shared" si="5"/>
        <v>0</v>
      </c>
      <c r="L22" s="40">
        <f t="shared" si="5"/>
        <v>0</v>
      </c>
      <c r="M22" s="40">
        <f t="shared" si="5"/>
        <v>0</v>
      </c>
      <c r="N22" s="40">
        <f t="shared" si="5"/>
        <v>0</v>
      </c>
      <c r="O22" s="40">
        <f t="shared" si="5"/>
        <v>0</v>
      </c>
      <c r="P22" s="40">
        <f t="shared" si="5"/>
        <v>0</v>
      </c>
      <c r="Q22" s="40">
        <f t="shared" si="5"/>
        <v>0</v>
      </c>
      <c r="R22" s="40">
        <f t="shared" si="5"/>
        <v>0</v>
      </c>
      <c r="S22" s="40">
        <f t="shared" si="5"/>
        <v>0</v>
      </c>
      <c r="T22" s="40">
        <f t="shared" si="5"/>
        <v>0</v>
      </c>
      <c r="U22" s="40">
        <f t="shared" si="5"/>
        <v>0</v>
      </c>
      <c r="V22" s="40">
        <f t="shared" si="5"/>
        <v>0</v>
      </c>
      <c r="W22" s="40">
        <f t="shared" si="5"/>
        <v>0</v>
      </c>
      <c r="X22" s="40">
        <f t="shared" si="5"/>
        <v>0</v>
      </c>
      <c r="Y22" s="40">
        <f t="shared" si="5"/>
        <v>0</v>
      </c>
    </row>
    <row r="23">
      <c r="A23" s="38" t="s">
        <v>28</v>
      </c>
    </row>
    <row r="24">
      <c r="A24" s="8" t="s">
        <v>29</v>
      </c>
    </row>
    <row r="25">
      <c r="A25" s="8" t="s">
        <v>30</v>
      </c>
      <c r="H25" s="8"/>
    </row>
    <row r="26">
      <c r="A26" s="18" t="s">
        <v>31</v>
      </c>
      <c r="B26" s="18"/>
      <c r="C26" s="18"/>
      <c r="D26" s="18"/>
      <c r="E26" s="39"/>
      <c r="F26" s="39"/>
      <c r="G26" s="18"/>
      <c r="H26" s="1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4" t="s">
        <v>36</v>
      </c>
      <c r="B27" s="40">
        <f t="shared" ref="B27:Y27" si="6">IFERROR(10*B28*B30/(B29+1)+10*(B30-1)*((B29+1)/(2*B28)), 2*B31*(2*B30-1))</f>
        <v>0</v>
      </c>
      <c r="C27" s="40">
        <f t="shared" si="6"/>
        <v>0</v>
      </c>
      <c r="D27" s="40">
        <f t="shared" si="6"/>
        <v>0</v>
      </c>
      <c r="E27" s="40">
        <f t="shared" si="6"/>
        <v>0</v>
      </c>
      <c r="F27" s="40">
        <f t="shared" si="6"/>
        <v>0</v>
      </c>
      <c r="G27" s="40">
        <f t="shared" si="6"/>
        <v>0</v>
      </c>
      <c r="H27" s="40">
        <f t="shared" si="6"/>
        <v>0</v>
      </c>
      <c r="I27" s="40">
        <f t="shared" si="6"/>
        <v>0</v>
      </c>
      <c r="J27" s="40">
        <f t="shared" si="6"/>
        <v>0</v>
      </c>
      <c r="K27" s="40">
        <f t="shared" si="6"/>
        <v>0</v>
      </c>
      <c r="L27" s="40">
        <f t="shared" si="6"/>
        <v>0</v>
      </c>
      <c r="M27" s="40">
        <f t="shared" si="6"/>
        <v>0</v>
      </c>
      <c r="N27" s="40">
        <f t="shared" si="6"/>
        <v>0</v>
      </c>
      <c r="O27" s="40">
        <f t="shared" si="6"/>
        <v>0</v>
      </c>
      <c r="P27" s="40">
        <f t="shared" si="6"/>
        <v>0</v>
      </c>
      <c r="Q27" s="40">
        <f t="shared" si="6"/>
        <v>0</v>
      </c>
      <c r="R27" s="40">
        <f t="shared" si="6"/>
        <v>0</v>
      </c>
      <c r="S27" s="40">
        <f t="shared" si="6"/>
        <v>0</v>
      </c>
      <c r="T27" s="40">
        <f t="shared" si="6"/>
        <v>0</v>
      </c>
      <c r="U27" s="40">
        <f t="shared" si="6"/>
        <v>0</v>
      </c>
      <c r="V27" s="40">
        <f t="shared" si="6"/>
        <v>0</v>
      </c>
      <c r="W27" s="40">
        <f t="shared" si="6"/>
        <v>0</v>
      </c>
      <c r="X27" s="40">
        <f t="shared" si="6"/>
        <v>0</v>
      </c>
      <c r="Y27" s="40">
        <f t="shared" si="6"/>
        <v>0</v>
      </c>
    </row>
    <row r="28">
      <c r="A28" s="38" t="s">
        <v>28</v>
      </c>
    </row>
    <row r="29">
      <c r="A29" s="8" t="s">
        <v>29</v>
      </c>
    </row>
    <row r="30">
      <c r="A30" s="8" t="s">
        <v>30</v>
      </c>
      <c r="H30" s="8"/>
    </row>
    <row r="31">
      <c r="A31" s="18" t="s">
        <v>31</v>
      </c>
      <c r="B31" s="18"/>
      <c r="C31" s="18"/>
      <c r="D31" s="18"/>
      <c r="E31" s="39"/>
      <c r="F31" s="39"/>
      <c r="G31" s="18"/>
      <c r="H31" s="1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4" t="s">
        <v>37</v>
      </c>
      <c r="B32" s="40">
        <f t="shared" ref="B32:Y32" si="7">IFERROR(10*B33*B35/(B34+1)+10*(B35-1)*((B34+1)/(2*B33)), 2*B36*(2*B35-1))</f>
        <v>0</v>
      </c>
      <c r="C32" s="40">
        <f t="shared" si="7"/>
        <v>0</v>
      </c>
      <c r="D32" s="40">
        <f t="shared" si="7"/>
        <v>0</v>
      </c>
      <c r="E32" s="40">
        <f t="shared" si="7"/>
        <v>0</v>
      </c>
      <c r="F32" s="40">
        <f t="shared" si="7"/>
        <v>0</v>
      </c>
      <c r="G32" s="40">
        <f t="shared" si="7"/>
        <v>0</v>
      </c>
      <c r="H32" s="40">
        <f t="shared" si="7"/>
        <v>0</v>
      </c>
      <c r="I32" s="40">
        <f t="shared" si="7"/>
        <v>0</v>
      </c>
      <c r="J32" s="40">
        <f t="shared" si="7"/>
        <v>0</v>
      </c>
      <c r="K32" s="40">
        <f t="shared" si="7"/>
        <v>0</v>
      </c>
      <c r="L32" s="40">
        <f t="shared" si="7"/>
        <v>0</v>
      </c>
      <c r="M32" s="40">
        <f t="shared" si="7"/>
        <v>0</v>
      </c>
      <c r="N32" s="40">
        <f t="shared" si="7"/>
        <v>0</v>
      </c>
      <c r="O32" s="40">
        <f t="shared" si="7"/>
        <v>0</v>
      </c>
      <c r="P32" s="40">
        <f t="shared" si="7"/>
        <v>0</v>
      </c>
      <c r="Q32" s="40">
        <f t="shared" si="7"/>
        <v>0</v>
      </c>
      <c r="R32" s="40">
        <f t="shared" si="7"/>
        <v>0</v>
      </c>
      <c r="S32" s="40">
        <f t="shared" si="7"/>
        <v>0</v>
      </c>
      <c r="T32" s="40">
        <f t="shared" si="7"/>
        <v>0</v>
      </c>
      <c r="U32" s="40">
        <f t="shared" si="7"/>
        <v>0</v>
      </c>
      <c r="V32" s="40">
        <f t="shared" si="7"/>
        <v>0</v>
      </c>
      <c r="W32" s="40">
        <f t="shared" si="7"/>
        <v>0</v>
      </c>
      <c r="X32" s="40">
        <f t="shared" si="7"/>
        <v>0</v>
      </c>
      <c r="Y32" s="40">
        <f t="shared" si="7"/>
        <v>0</v>
      </c>
    </row>
    <row r="33">
      <c r="A33" s="38" t="s">
        <v>28</v>
      </c>
    </row>
    <row r="34">
      <c r="A34" s="8" t="s">
        <v>29</v>
      </c>
    </row>
    <row r="35">
      <c r="A35" s="8" t="s">
        <v>30</v>
      </c>
      <c r="H35" s="8"/>
    </row>
    <row r="36">
      <c r="A36" s="18" t="s">
        <v>31</v>
      </c>
      <c r="B36" s="18"/>
      <c r="C36" s="18"/>
      <c r="D36" s="18"/>
      <c r="E36" s="39"/>
      <c r="F36" s="39"/>
      <c r="G36" s="18"/>
      <c r="H36" s="1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4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8"/>
    </row>
    <row r="40">
      <c r="A40" s="42"/>
    </row>
    <row r="41">
      <c r="A41" s="8"/>
      <c r="B41" s="8"/>
      <c r="C41" s="8"/>
      <c r="D41" s="8"/>
      <c r="G41" s="8"/>
      <c r="H41" s="8"/>
    </row>
    <row r="42">
      <c r="A42" s="3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8"/>
    </row>
    <row r="45">
      <c r="A45" s="42"/>
    </row>
    <row r="46">
      <c r="A46" s="8"/>
      <c r="B46" s="8"/>
      <c r="C46" s="8"/>
      <c r="D46" s="8"/>
      <c r="G46" s="8"/>
      <c r="H46" s="8"/>
    </row>
    <row r="47">
      <c r="A47" s="3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8"/>
    </row>
    <row r="50">
      <c r="A50" s="42"/>
    </row>
    <row r="51">
      <c r="A51" s="8"/>
      <c r="B51" s="8"/>
      <c r="C51" s="8"/>
      <c r="D51" s="8"/>
      <c r="G51" s="8"/>
      <c r="H51" s="8"/>
    </row>
    <row r="52">
      <c r="A52" s="34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8"/>
    </row>
    <row r="55">
      <c r="A55" s="42"/>
    </row>
    <row r="56">
      <c r="A56" s="8"/>
      <c r="B56" s="8"/>
      <c r="C56" s="8"/>
      <c r="D56" s="8"/>
      <c r="G56" s="8"/>
      <c r="H56" s="8"/>
    </row>
    <row r="57">
      <c r="A57" s="34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8"/>
    </row>
    <row r="60">
      <c r="A60" s="42"/>
    </row>
    <row r="61">
      <c r="A61" s="8"/>
      <c r="B61" s="8"/>
      <c r="C61" s="8"/>
      <c r="D61" s="8"/>
      <c r="G61" s="8"/>
      <c r="H61" s="8"/>
    </row>
    <row r="62">
      <c r="A62" s="3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8"/>
    </row>
    <row r="65">
      <c r="A65" s="42"/>
    </row>
    <row r="66">
      <c r="A66" s="8"/>
      <c r="B66" s="8"/>
      <c r="C66" s="8"/>
      <c r="D66" s="8"/>
      <c r="G66" s="8"/>
      <c r="H66" s="8"/>
    </row>
    <row r="67">
      <c r="A67" s="34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8"/>
    </row>
    <row r="70">
      <c r="A70" s="42"/>
    </row>
    <row r="71">
      <c r="A71" s="8"/>
      <c r="B71" s="8"/>
      <c r="C71" s="8"/>
      <c r="D71" s="8"/>
      <c r="G71" s="8"/>
      <c r="H71" s="8"/>
    </row>
    <row r="72">
      <c r="A72" s="3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8"/>
    </row>
    <row r="75">
      <c r="A75" s="42"/>
    </row>
    <row r="76">
      <c r="A76" s="8"/>
      <c r="B76" s="8"/>
      <c r="C76" s="8"/>
      <c r="D76" s="8"/>
      <c r="G76" s="8"/>
      <c r="H76" s="8"/>
    </row>
    <row r="77">
      <c r="A77" s="3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8"/>
    </row>
    <row r="80">
      <c r="A80" s="42"/>
    </row>
    <row r="81">
      <c r="A81" s="8"/>
      <c r="B81" s="8"/>
      <c r="C81" s="8"/>
      <c r="D81" s="8"/>
      <c r="G81" s="8"/>
      <c r="H81" s="8"/>
    </row>
  </sheetData>
  <conditionalFormatting sqref="A2:Y2 A7:Y7 A12:Y12 A17:Y17 A22:Y22 A27:Y27 A32:Y32 A37:Y37 A42:Y42 A47:Y47 A52:Y52 A57:Y57 A63:Y63 A67:Y67 A72:Y72 A75:Y75 A77:Y77">
    <cfRule type="cellIs" dxfId="1" priority="1" operator="lessThan">
      <formula>0</formula>
    </cfRule>
  </conditionalFormatting>
  <conditionalFormatting sqref="A2:Y2 A7:Y7 A12:Y12 A17:Y17 A22:Y22 A27:Y27 A32:Y32 A37:Y37 A42:Y42 A47:Y47 A52:Y52 A57:Y57 A62:Y62 A67:Y67 A72:Y72 A77:Y77">
    <cfRule type="cellIs" dxfId="2" priority="2" operator="greaterThan">
      <formula>0</formula>
    </cfRule>
  </conditionalFormatting>
  <conditionalFormatting sqref="A2:Y2 A7:Y7 A12:Y12 A17:Y17 A22:Y22 A27:Y27 A32:Y32 A37:Y37 A42:Y42 A47:Y47 A52:Y52 A57:Y57 A62:Y63 A67:Y67 A72:Y72 A75:Y75 A77:Y77">
    <cfRule type="cellIs" dxfId="3" priority="3" operator="equal">
      <formula>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33" t="str">
        <f>'Total Score'!B1</f>
        <v>Llama</v>
      </c>
      <c r="C1" s="33" t="str">
        <f>'Total Score'!C1</f>
        <v>Nic</v>
      </c>
      <c r="D1" s="33" t="str">
        <f>'Total Score'!D1</f>
        <v>Taank</v>
      </c>
      <c r="E1" s="33" t="str">
        <f>'Total Score'!E1</f>
        <v>Elephant</v>
      </c>
      <c r="F1" s="33" t="str">
        <f>'Total Score'!F1</f>
        <v>Jorg</v>
      </c>
      <c r="G1" s="33" t="str">
        <f>'Total Score'!G1</f>
        <v>Deadlock</v>
      </c>
      <c r="H1" s="33" t="str">
        <f>'Total Score'!H1</f>
        <v>Veil</v>
      </c>
      <c r="I1" s="33" t="str">
        <f>'Total Score'!I1</f>
        <v>Arch</v>
      </c>
      <c r="J1" s="33" t="str">
        <f>'Total Score'!J1</f>
        <v>Winter</v>
      </c>
      <c r="K1" s="33" t="str">
        <f>'Total Score'!K1</f>
        <v/>
      </c>
      <c r="L1" s="33" t="str">
        <f>'Total Score'!L1</f>
        <v/>
      </c>
      <c r="M1" s="33" t="str">
        <f>'Total Score'!M1</f>
        <v/>
      </c>
      <c r="N1" s="33" t="str">
        <f>'Total Score'!N1</f>
        <v/>
      </c>
      <c r="O1" s="33" t="str">
        <f>'Total Score'!O1</f>
        <v/>
      </c>
      <c r="P1" s="33" t="str">
        <f>'Total Score'!P1</f>
        <v/>
      </c>
      <c r="Q1" s="33" t="str">
        <f>'Total Score'!Q1</f>
        <v/>
      </c>
      <c r="R1" s="33" t="str">
        <f>'Total Score'!R1</f>
        <v/>
      </c>
      <c r="S1" s="33" t="str">
        <f>'Total Score'!S1</f>
        <v/>
      </c>
      <c r="T1" s="33" t="str">
        <f>'Total Score'!T1</f>
        <v/>
      </c>
      <c r="U1" s="33" t="str">
        <f>'Total Score'!U1</f>
        <v/>
      </c>
      <c r="V1" s="33" t="str">
        <f>'Total Score'!V1</f>
        <v/>
      </c>
      <c r="W1" s="33" t="str">
        <f>'Total Score'!W1</f>
        <v/>
      </c>
      <c r="X1" s="33" t="str">
        <f>'Total Score'!X1</f>
        <v/>
      </c>
      <c r="Y1" s="33" t="str">
        <f>'Total Score'!Y1</f>
        <v/>
      </c>
      <c r="Z1" s="33"/>
    </row>
    <row r="2">
      <c r="A2" s="34" t="s">
        <v>27</v>
      </c>
      <c r="B2" s="41">
        <f t="shared" ref="B2:Z2" si="1">IFERROR(10*B3*B5/(B4+1)+10*(B5-1)*((B4+1)/(2*B3)), 2*B6*(2*B5-1))</f>
        <v>0</v>
      </c>
      <c r="C2" s="35">
        <f t="shared" si="1"/>
        <v>10</v>
      </c>
      <c r="D2" s="36">
        <f t="shared" si="1"/>
        <v>-5</v>
      </c>
      <c r="E2" s="35">
        <f t="shared" si="1"/>
        <v>0</v>
      </c>
      <c r="F2" s="35">
        <f t="shared" si="1"/>
        <v>0</v>
      </c>
      <c r="G2" s="35">
        <f t="shared" si="1"/>
        <v>0</v>
      </c>
      <c r="H2" s="35">
        <f t="shared" si="1"/>
        <v>0</v>
      </c>
      <c r="I2" s="36">
        <f t="shared" si="1"/>
        <v>0</v>
      </c>
      <c r="J2" s="36">
        <f t="shared" si="1"/>
        <v>0</v>
      </c>
      <c r="K2" s="37">
        <f t="shared" si="1"/>
        <v>0</v>
      </c>
      <c r="L2" s="35">
        <f t="shared" si="1"/>
        <v>0</v>
      </c>
      <c r="M2" s="35">
        <f t="shared" si="1"/>
        <v>0</v>
      </c>
      <c r="N2" s="35">
        <f t="shared" si="1"/>
        <v>0</v>
      </c>
      <c r="O2" s="35">
        <f t="shared" si="1"/>
        <v>0</v>
      </c>
      <c r="P2" s="35">
        <f t="shared" si="1"/>
        <v>0</v>
      </c>
      <c r="Q2" s="35">
        <f t="shared" si="1"/>
        <v>0</v>
      </c>
      <c r="R2" s="35">
        <f t="shared" si="1"/>
        <v>0</v>
      </c>
      <c r="S2" s="35">
        <f t="shared" si="1"/>
        <v>0</v>
      </c>
      <c r="T2" s="35">
        <f t="shared" si="1"/>
        <v>0</v>
      </c>
      <c r="U2" s="36">
        <f t="shared" si="1"/>
        <v>0</v>
      </c>
      <c r="V2" s="35">
        <f t="shared" si="1"/>
        <v>0</v>
      </c>
      <c r="W2" s="35">
        <f t="shared" si="1"/>
        <v>0</v>
      </c>
      <c r="X2" s="35">
        <f t="shared" si="1"/>
        <v>0</v>
      </c>
      <c r="Y2" s="35">
        <f t="shared" si="1"/>
        <v>0</v>
      </c>
      <c r="Z2" s="35">
        <f t="shared" si="1"/>
        <v>0</v>
      </c>
    </row>
    <row r="3">
      <c r="A3" s="38" t="s">
        <v>28</v>
      </c>
      <c r="C3" s="8">
        <v>1.0</v>
      </c>
      <c r="D3" s="8">
        <v>1.0</v>
      </c>
    </row>
    <row r="4">
      <c r="A4" s="8" t="s">
        <v>29</v>
      </c>
    </row>
    <row r="5">
      <c r="A5" s="8" t="s">
        <v>30</v>
      </c>
      <c r="C5" s="8">
        <v>1.0</v>
      </c>
    </row>
    <row r="6">
      <c r="A6" s="18" t="s">
        <v>31</v>
      </c>
      <c r="B6" s="18"/>
      <c r="C6" s="18"/>
      <c r="D6" s="18"/>
      <c r="E6" s="39"/>
      <c r="F6" s="39"/>
      <c r="G6" s="18"/>
      <c r="H6" s="1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34" t="s">
        <v>32</v>
      </c>
      <c r="B7" s="40">
        <f t="shared" ref="B7:E7" si="2">IFERROR(10*B8*B10/(B9+1)+10*(B10-1)*((B9+1)/(2*B8)), 2*B11*(2*B10-1))</f>
        <v>10</v>
      </c>
      <c r="C7" s="40">
        <f t="shared" si="2"/>
        <v>0</v>
      </c>
      <c r="D7" s="40">
        <f t="shared" si="2"/>
        <v>0</v>
      </c>
      <c r="E7" s="40">
        <f t="shared" si="2"/>
        <v>0</v>
      </c>
      <c r="F7" s="40">
        <f>IFERROR(10*F8*F10/(#REF!+1)+10*(F10-1)*((#REF!+1)/(2*F8)), 2*F11*(2*F10-1))</f>
        <v>0</v>
      </c>
      <c r="G7" s="40">
        <f>IFERROR(10*G8*G10/(F9+1)+10*(G10-1)*((F9+1)/(2*G8)), 2*G11*(2*G10-1))</f>
        <v>-5</v>
      </c>
      <c r="H7" s="40">
        <f t="shared" ref="H7:Y7" si="3">IFERROR(10*H8*H10/(H9+1)+10*(H10-1)*((H9+1)/(2*H8)), 2*H11*(2*H10-1))</f>
        <v>0</v>
      </c>
      <c r="I7" s="40">
        <f t="shared" si="3"/>
        <v>0</v>
      </c>
      <c r="J7" s="40">
        <f t="shared" si="3"/>
        <v>0</v>
      </c>
      <c r="K7" s="40">
        <f t="shared" si="3"/>
        <v>0</v>
      </c>
      <c r="L7" s="40">
        <f t="shared" si="3"/>
        <v>0</v>
      </c>
      <c r="M7" s="40">
        <f t="shared" si="3"/>
        <v>0</v>
      </c>
      <c r="N7" s="40">
        <f t="shared" si="3"/>
        <v>0</v>
      </c>
      <c r="O7" s="40">
        <f t="shared" si="3"/>
        <v>0</v>
      </c>
      <c r="P7" s="40">
        <f t="shared" si="3"/>
        <v>0</v>
      </c>
      <c r="Q7" s="40">
        <f t="shared" si="3"/>
        <v>0</v>
      </c>
      <c r="R7" s="40">
        <f t="shared" si="3"/>
        <v>0</v>
      </c>
      <c r="S7" s="40">
        <f t="shared" si="3"/>
        <v>0</v>
      </c>
      <c r="T7" s="40">
        <f t="shared" si="3"/>
        <v>0</v>
      </c>
      <c r="U7" s="40">
        <f t="shared" si="3"/>
        <v>0</v>
      </c>
      <c r="V7" s="40">
        <f t="shared" si="3"/>
        <v>0</v>
      </c>
      <c r="W7" s="40">
        <f t="shared" si="3"/>
        <v>0</v>
      </c>
      <c r="X7" s="40">
        <f t="shared" si="3"/>
        <v>0</v>
      </c>
      <c r="Y7" s="40">
        <f t="shared" si="3"/>
        <v>0</v>
      </c>
      <c r="Z7" s="41"/>
    </row>
    <row r="8">
      <c r="A8" s="38" t="s">
        <v>28</v>
      </c>
      <c r="B8" s="8">
        <v>1.0</v>
      </c>
      <c r="G8" s="8">
        <v>1.0</v>
      </c>
    </row>
    <row r="9">
      <c r="A9" s="8" t="s">
        <v>29</v>
      </c>
    </row>
    <row r="10">
      <c r="A10" s="8" t="s">
        <v>30</v>
      </c>
      <c r="B10" s="8">
        <v>1.0</v>
      </c>
    </row>
    <row r="11">
      <c r="A11" s="18" t="s">
        <v>31</v>
      </c>
      <c r="B11" s="18"/>
      <c r="C11" s="18"/>
      <c r="D11" s="18"/>
      <c r="E11" s="39"/>
      <c r="F11" s="39"/>
      <c r="G11" s="18"/>
      <c r="H11" s="1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34" t="s">
        <v>33</v>
      </c>
      <c r="B12" s="40">
        <f t="shared" ref="B12:Y12" si="4">IFERROR(10*B13*B15/(B14+1)+10*(B15-1)*((B14+1)/(2*B13)), 2*B16*(2*B15-1))</f>
        <v>10</v>
      </c>
      <c r="C12" s="40">
        <f t="shared" si="4"/>
        <v>0</v>
      </c>
      <c r="D12" s="40">
        <f t="shared" si="4"/>
        <v>0</v>
      </c>
      <c r="E12" s="40">
        <f t="shared" si="4"/>
        <v>0</v>
      </c>
      <c r="F12" s="40">
        <f t="shared" si="4"/>
        <v>0</v>
      </c>
      <c r="G12" s="40">
        <f t="shared" si="4"/>
        <v>-5</v>
      </c>
      <c r="H12" s="40">
        <f t="shared" si="4"/>
        <v>0</v>
      </c>
      <c r="I12" s="40">
        <f t="shared" si="4"/>
        <v>0</v>
      </c>
      <c r="J12" s="40">
        <f t="shared" si="4"/>
        <v>0</v>
      </c>
      <c r="K12" s="40">
        <f t="shared" si="4"/>
        <v>0</v>
      </c>
      <c r="L12" s="40">
        <f t="shared" si="4"/>
        <v>0</v>
      </c>
      <c r="M12" s="40">
        <f t="shared" si="4"/>
        <v>0</v>
      </c>
      <c r="N12" s="40">
        <f t="shared" si="4"/>
        <v>0</v>
      </c>
      <c r="O12" s="40">
        <f t="shared" si="4"/>
        <v>0</v>
      </c>
      <c r="P12" s="40">
        <f t="shared" si="4"/>
        <v>0</v>
      </c>
      <c r="Q12" s="40">
        <f t="shared" si="4"/>
        <v>0</v>
      </c>
      <c r="R12" s="40">
        <f t="shared" si="4"/>
        <v>0</v>
      </c>
      <c r="S12" s="40">
        <f t="shared" si="4"/>
        <v>0</v>
      </c>
      <c r="T12" s="40">
        <f t="shared" si="4"/>
        <v>0</v>
      </c>
      <c r="U12" s="40">
        <f t="shared" si="4"/>
        <v>0</v>
      </c>
      <c r="V12" s="40">
        <f t="shared" si="4"/>
        <v>0</v>
      </c>
      <c r="W12" s="40">
        <f t="shared" si="4"/>
        <v>0</v>
      </c>
      <c r="X12" s="40">
        <f t="shared" si="4"/>
        <v>0</v>
      </c>
      <c r="Y12" s="40">
        <f t="shared" si="4"/>
        <v>0</v>
      </c>
      <c r="Z12" s="41"/>
    </row>
    <row r="13">
      <c r="A13" s="38" t="s">
        <v>28</v>
      </c>
      <c r="B13" s="8">
        <v>1.0</v>
      </c>
      <c r="G13" s="8">
        <v>1.0</v>
      </c>
    </row>
    <row r="14">
      <c r="A14" s="8" t="s">
        <v>29</v>
      </c>
    </row>
    <row r="15">
      <c r="A15" s="8" t="s">
        <v>30</v>
      </c>
      <c r="B15" s="8">
        <v>1.0</v>
      </c>
    </row>
    <row r="16">
      <c r="A16" s="18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34" t="s">
        <v>34</v>
      </c>
      <c r="B17" s="40">
        <f t="shared" ref="B17:Y17" si="5">IFERROR(10*B18*B20/(B19+1)+10*(B20-1)*((B19+1)/(2*B18)), 2*B21*(2*B20-1))</f>
        <v>0</v>
      </c>
      <c r="C17" s="40">
        <f t="shared" si="5"/>
        <v>0</v>
      </c>
      <c r="D17" s="40">
        <f t="shared" si="5"/>
        <v>0</v>
      </c>
      <c r="E17" s="40">
        <f t="shared" si="5"/>
        <v>0</v>
      </c>
      <c r="F17" s="40">
        <f t="shared" si="5"/>
        <v>0</v>
      </c>
      <c r="G17" s="40">
        <f t="shared" si="5"/>
        <v>0</v>
      </c>
      <c r="H17" s="40">
        <f t="shared" si="5"/>
        <v>0</v>
      </c>
      <c r="I17" s="40">
        <f t="shared" si="5"/>
        <v>0</v>
      </c>
      <c r="J17" s="40">
        <f t="shared" si="5"/>
        <v>0</v>
      </c>
      <c r="K17" s="40">
        <f t="shared" si="5"/>
        <v>0</v>
      </c>
      <c r="L17" s="40">
        <f t="shared" si="5"/>
        <v>0</v>
      </c>
      <c r="M17" s="40">
        <f t="shared" si="5"/>
        <v>0</v>
      </c>
      <c r="N17" s="40">
        <f t="shared" si="5"/>
        <v>0</v>
      </c>
      <c r="O17" s="40">
        <f t="shared" si="5"/>
        <v>0</v>
      </c>
      <c r="P17" s="40">
        <f t="shared" si="5"/>
        <v>0</v>
      </c>
      <c r="Q17" s="40">
        <f t="shared" si="5"/>
        <v>0</v>
      </c>
      <c r="R17" s="40">
        <f t="shared" si="5"/>
        <v>0</v>
      </c>
      <c r="S17" s="40">
        <f t="shared" si="5"/>
        <v>0</v>
      </c>
      <c r="T17" s="40">
        <f t="shared" si="5"/>
        <v>0</v>
      </c>
      <c r="U17" s="40">
        <f t="shared" si="5"/>
        <v>0</v>
      </c>
      <c r="V17" s="40">
        <f t="shared" si="5"/>
        <v>0</v>
      </c>
      <c r="W17" s="40">
        <f t="shared" si="5"/>
        <v>0</v>
      </c>
      <c r="X17" s="40">
        <f t="shared" si="5"/>
        <v>0</v>
      </c>
      <c r="Y17" s="40">
        <f t="shared" si="5"/>
        <v>0</v>
      </c>
      <c r="Z17" s="41"/>
    </row>
    <row r="18">
      <c r="A18" s="38" t="s">
        <v>28</v>
      </c>
    </row>
    <row r="19">
      <c r="A19" s="8" t="s">
        <v>29</v>
      </c>
    </row>
    <row r="20">
      <c r="A20" s="8" t="s">
        <v>30</v>
      </c>
    </row>
    <row r="21">
      <c r="A21" s="18" t="s">
        <v>31</v>
      </c>
      <c r="B21" s="18"/>
      <c r="C21" s="18"/>
      <c r="D21" s="18"/>
      <c r="E21" s="39"/>
      <c r="F21" s="39"/>
      <c r="G21" s="18"/>
      <c r="H21" s="1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34" t="s">
        <v>35</v>
      </c>
      <c r="B22" s="40">
        <f t="shared" ref="B22:Y22" si="6">IFERROR(10*B23*B25/(B24+1)+10*(B25-1)*((B24+1)/(2*B23)), 2*B26*(2*B25-1))</f>
        <v>0</v>
      </c>
      <c r="C22" s="40">
        <f t="shared" si="6"/>
        <v>0</v>
      </c>
      <c r="D22" s="40">
        <f t="shared" si="6"/>
        <v>0</v>
      </c>
      <c r="E22" s="40">
        <f t="shared" si="6"/>
        <v>0</v>
      </c>
      <c r="F22" s="40">
        <f t="shared" si="6"/>
        <v>0</v>
      </c>
      <c r="G22" s="40">
        <f t="shared" si="6"/>
        <v>0</v>
      </c>
      <c r="H22" s="40">
        <f t="shared" si="6"/>
        <v>0</v>
      </c>
      <c r="I22" s="40">
        <f t="shared" si="6"/>
        <v>0</v>
      </c>
      <c r="J22" s="40">
        <f t="shared" si="6"/>
        <v>0</v>
      </c>
      <c r="K22" s="40">
        <f t="shared" si="6"/>
        <v>0</v>
      </c>
      <c r="L22" s="40">
        <f t="shared" si="6"/>
        <v>0</v>
      </c>
      <c r="M22" s="40">
        <f t="shared" si="6"/>
        <v>0</v>
      </c>
      <c r="N22" s="40">
        <f t="shared" si="6"/>
        <v>0</v>
      </c>
      <c r="O22" s="40">
        <f t="shared" si="6"/>
        <v>0</v>
      </c>
      <c r="P22" s="40">
        <f t="shared" si="6"/>
        <v>0</v>
      </c>
      <c r="Q22" s="40">
        <f t="shared" si="6"/>
        <v>0</v>
      </c>
      <c r="R22" s="40">
        <f t="shared" si="6"/>
        <v>0</v>
      </c>
      <c r="S22" s="40">
        <f t="shared" si="6"/>
        <v>0</v>
      </c>
      <c r="T22" s="40">
        <f t="shared" si="6"/>
        <v>0</v>
      </c>
      <c r="U22" s="40">
        <f t="shared" si="6"/>
        <v>0</v>
      </c>
      <c r="V22" s="40">
        <f t="shared" si="6"/>
        <v>0</v>
      </c>
      <c r="W22" s="40">
        <f t="shared" si="6"/>
        <v>0</v>
      </c>
      <c r="X22" s="40">
        <f t="shared" si="6"/>
        <v>0</v>
      </c>
      <c r="Y22" s="40">
        <f t="shared" si="6"/>
        <v>0</v>
      </c>
      <c r="Z22" s="41"/>
    </row>
    <row r="23">
      <c r="A23" s="38" t="s">
        <v>28</v>
      </c>
    </row>
    <row r="24">
      <c r="A24" s="8" t="s">
        <v>29</v>
      </c>
    </row>
    <row r="25">
      <c r="A25" s="8" t="s">
        <v>30</v>
      </c>
      <c r="H25" s="8"/>
    </row>
    <row r="26">
      <c r="A26" s="18" t="s">
        <v>31</v>
      </c>
      <c r="B26" s="18"/>
      <c r="C26" s="18"/>
      <c r="D26" s="18"/>
      <c r="E26" s="39"/>
      <c r="F26" s="39"/>
      <c r="G26" s="18"/>
      <c r="H26" s="1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4" t="s">
        <v>36</v>
      </c>
      <c r="B27" s="40">
        <f t="shared" ref="B27:Y27" si="7">IFERROR(10*B28*B30/(B29+1)+10*(B30-1)*((B29+1)/(2*B28)), 2*B31*(2*B30-1))</f>
        <v>0</v>
      </c>
      <c r="C27" s="40">
        <f t="shared" si="7"/>
        <v>0</v>
      </c>
      <c r="D27" s="40">
        <f t="shared" si="7"/>
        <v>0</v>
      </c>
      <c r="E27" s="40">
        <f t="shared" si="7"/>
        <v>0</v>
      </c>
      <c r="F27" s="40">
        <f t="shared" si="7"/>
        <v>0</v>
      </c>
      <c r="G27" s="40">
        <f t="shared" si="7"/>
        <v>0</v>
      </c>
      <c r="H27" s="40">
        <f t="shared" si="7"/>
        <v>0</v>
      </c>
      <c r="I27" s="40">
        <f t="shared" si="7"/>
        <v>0</v>
      </c>
      <c r="J27" s="40">
        <f t="shared" si="7"/>
        <v>0</v>
      </c>
      <c r="K27" s="40">
        <f t="shared" si="7"/>
        <v>0</v>
      </c>
      <c r="L27" s="40">
        <f t="shared" si="7"/>
        <v>0</v>
      </c>
      <c r="M27" s="40">
        <f t="shared" si="7"/>
        <v>0</v>
      </c>
      <c r="N27" s="40">
        <f t="shared" si="7"/>
        <v>0</v>
      </c>
      <c r="O27" s="40">
        <f t="shared" si="7"/>
        <v>0</v>
      </c>
      <c r="P27" s="40">
        <f t="shared" si="7"/>
        <v>0</v>
      </c>
      <c r="Q27" s="40">
        <f t="shared" si="7"/>
        <v>0</v>
      </c>
      <c r="R27" s="40">
        <f t="shared" si="7"/>
        <v>0</v>
      </c>
      <c r="S27" s="40">
        <f t="shared" si="7"/>
        <v>0</v>
      </c>
      <c r="T27" s="40">
        <f t="shared" si="7"/>
        <v>0</v>
      </c>
      <c r="U27" s="40">
        <f t="shared" si="7"/>
        <v>0</v>
      </c>
      <c r="V27" s="40">
        <f t="shared" si="7"/>
        <v>0</v>
      </c>
      <c r="W27" s="40">
        <f t="shared" si="7"/>
        <v>0</v>
      </c>
      <c r="X27" s="40">
        <f t="shared" si="7"/>
        <v>0</v>
      </c>
      <c r="Y27" s="40">
        <f t="shared" si="7"/>
        <v>0</v>
      </c>
      <c r="Z27" s="41"/>
    </row>
    <row r="28">
      <c r="A28" s="38" t="s">
        <v>28</v>
      </c>
    </row>
    <row r="29">
      <c r="A29" s="8" t="s">
        <v>29</v>
      </c>
    </row>
    <row r="30">
      <c r="A30" s="8" t="s">
        <v>30</v>
      </c>
      <c r="H30" s="8"/>
    </row>
    <row r="31">
      <c r="A31" s="18" t="s">
        <v>31</v>
      </c>
      <c r="B31" s="18"/>
      <c r="C31" s="18"/>
      <c r="D31" s="18"/>
      <c r="E31" s="39"/>
      <c r="F31" s="39"/>
      <c r="G31" s="18"/>
      <c r="H31" s="1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4" t="s">
        <v>37</v>
      </c>
      <c r="B32" s="41">
        <f>IFERROR(10*B33*((B36-2)/-2)*B35/(B34+1)+10*(B36+1)*(B35-1)*((B34+1)/(2*B33)), 0)</f>
        <v>0</v>
      </c>
      <c r="C32" s="40">
        <f t="shared" ref="C32:Z32" si="8">IFERROR(10*C33*C35/(C34+1)+10*(C35-1)*((C34+1)/(2*C33)), 2*C36*(2*C35-1))</f>
        <v>0</v>
      </c>
      <c r="D32" s="40">
        <f t="shared" si="8"/>
        <v>0</v>
      </c>
      <c r="E32" s="40">
        <f t="shared" si="8"/>
        <v>0</v>
      </c>
      <c r="F32" s="40">
        <f t="shared" si="8"/>
        <v>0</v>
      </c>
      <c r="G32" s="40">
        <f t="shared" si="8"/>
        <v>0</v>
      </c>
      <c r="H32" s="40">
        <f t="shared" si="8"/>
        <v>0</v>
      </c>
      <c r="I32" s="40">
        <f t="shared" si="8"/>
        <v>0</v>
      </c>
      <c r="J32" s="40">
        <f t="shared" si="8"/>
        <v>0</v>
      </c>
      <c r="K32" s="40">
        <f t="shared" si="8"/>
        <v>0</v>
      </c>
      <c r="L32" s="40">
        <f t="shared" si="8"/>
        <v>0</v>
      </c>
      <c r="M32" s="40">
        <f t="shared" si="8"/>
        <v>0</v>
      </c>
      <c r="N32" s="40">
        <f t="shared" si="8"/>
        <v>0</v>
      </c>
      <c r="O32" s="40">
        <f t="shared" si="8"/>
        <v>0</v>
      </c>
      <c r="P32" s="40">
        <f t="shared" si="8"/>
        <v>0</v>
      </c>
      <c r="Q32" s="40">
        <f t="shared" si="8"/>
        <v>0</v>
      </c>
      <c r="R32" s="40">
        <f t="shared" si="8"/>
        <v>0</v>
      </c>
      <c r="S32" s="40">
        <f t="shared" si="8"/>
        <v>0</v>
      </c>
      <c r="T32" s="40">
        <f t="shared" si="8"/>
        <v>0</v>
      </c>
      <c r="U32" s="40">
        <f t="shared" si="8"/>
        <v>0</v>
      </c>
      <c r="V32" s="40">
        <f t="shared" si="8"/>
        <v>0</v>
      </c>
      <c r="W32" s="40">
        <f t="shared" si="8"/>
        <v>0</v>
      </c>
      <c r="X32" s="40">
        <f t="shared" si="8"/>
        <v>0</v>
      </c>
      <c r="Y32" s="40">
        <f t="shared" si="8"/>
        <v>0</v>
      </c>
      <c r="Z32" s="40">
        <f t="shared" si="8"/>
        <v>0</v>
      </c>
    </row>
    <row r="33">
      <c r="A33" s="38" t="s">
        <v>28</v>
      </c>
    </row>
    <row r="34">
      <c r="A34" s="8" t="s">
        <v>29</v>
      </c>
    </row>
    <row r="35">
      <c r="A35" s="8" t="s">
        <v>30</v>
      </c>
      <c r="H35" s="8"/>
    </row>
    <row r="36">
      <c r="A36" s="18" t="s">
        <v>31</v>
      </c>
      <c r="B36" s="18"/>
      <c r="C36" s="18"/>
      <c r="D36" s="18"/>
      <c r="E36" s="39"/>
      <c r="F36" s="39"/>
      <c r="G36" s="18"/>
      <c r="H36" s="1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4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8"/>
    </row>
    <row r="40">
      <c r="A40" s="42"/>
    </row>
    <row r="41">
      <c r="A41" s="8"/>
      <c r="B41" s="8"/>
      <c r="C41" s="8"/>
      <c r="D41" s="8"/>
      <c r="G41" s="8"/>
      <c r="H41" s="8"/>
    </row>
    <row r="42">
      <c r="A42" s="3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8"/>
    </row>
    <row r="45">
      <c r="A45" s="42"/>
    </row>
    <row r="46">
      <c r="A46" s="8"/>
      <c r="B46" s="8"/>
      <c r="C46" s="8"/>
      <c r="D46" s="8"/>
      <c r="G46" s="8"/>
      <c r="H46" s="8"/>
    </row>
    <row r="47">
      <c r="A47" s="3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8"/>
    </row>
    <row r="50">
      <c r="A50" s="42"/>
    </row>
    <row r="51">
      <c r="A51" s="8"/>
      <c r="B51" s="8"/>
      <c r="C51" s="8"/>
      <c r="D51" s="8"/>
      <c r="G51" s="8"/>
      <c r="H51" s="8"/>
    </row>
    <row r="52">
      <c r="A52" s="34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8"/>
    </row>
    <row r="55">
      <c r="A55" s="42"/>
    </row>
    <row r="56">
      <c r="A56" s="8"/>
      <c r="B56" s="8"/>
      <c r="C56" s="8"/>
      <c r="D56" s="8"/>
      <c r="G56" s="8"/>
      <c r="H56" s="8"/>
    </row>
    <row r="57">
      <c r="A57" s="34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8"/>
    </row>
    <row r="60">
      <c r="A60" s="42"/>
    </row>
    <row r="61">
      <c r="A61" s="8"/>
      <c r="B61" s="8"/>
      <c r="C61" s="8"/>
      <c r="D61" s="8"/>
      <c r="G61" s="8"/>
      <c r="H61" s="8"/>
    </row>
    <row r="62">
      <c r="A62" s="3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8"/>
    </row>
    <row r="65">
      <c r="A65" s="42"/>
    </row>
    <row r="66">
      <c r="A66" s="8"/>
      <c r="B66" s="8"/>
      <c r="C66" s="8"/>
      <c r="D66" s="8"/>
      <c r="G66" s="8"/>
      <c r="H66" s="8"/>
    </row>
    <row r="67">
      <c r="A67" s="34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8"/>
    </row>
    <row r="70">
      <c r="A70" s="42"/>
    </row>
    <row r="71">
      <c r="A71" s="8"/>
      <c r="B71" s="8"/>
      <c r="C71" s="8"/>
      <c r="D71" s="8"/>
      <c r="G71" s="8"/>
      <c r="H71" s="8"/>
    </row>
    <row r="72">
      <c r="A72" s="3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8"/>
    </row>
    <row r="75">
      <c r="A75" s="42"/>
    </row>
    <row r="76">
      <c r="A76" s="8"/>
      <c r="B76" s="8"/>
      <c r="C76" s="8"/>
      <c r="D76" s="8"/>
      <c r="G76" s="8"/>
      <c r="H76" s="8"/>
    </row>
    <row r="77">
      <c r="A77" s="3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8"/>
    </row>
    <row r="80">
      <c r="A80" s="42"/>
    </row>
    <row r="81">
      <c r="A81" s="8"/>
      <c r="B81" s="8"/>
      <c r="C81" s="8"/>
      <c r="D81" s="8"/>
      <c r="G81" s="8"/>
      <c r="H81" s="8"/>
    </row>
  </sheetData>
  <conditionalFormatting sqref="A2:Z2 A7:Z7 A12:Z12 A17:Z17 A22:Z22 A27:Z27 A32:Z32 A37:Z37 A42:Z42 A47:Z47 A52:Z52 A57:Z57 A63:Z63 A67:Z67 A72:Z72 A75:Z75 A77:Z77">
    <cfRule type="cellIs" dxfId="1" priority="1" operator="lessThan">
      <formula>0</formula>
    </cfRule>
  </conditionalFormatting>
  <conditionalFormatting sqref="A2:Z2 A7:Z7 A12:Z12 A17:Z17 A22:Z22 A27:Z27 A32:Z32 A37:Z37 A42:Z42 A47:Z47 A52:Z52 A57:Z57 A62:Z62 A67:Z67 A72:Z72 A77:Z77">
    <cfRule type="cellIs" dxfId="2" priority="2" operator="greaterThan">
      <formula>0</formula>
    </cfRule>
  </conditionalFormatting>
  <conditionalFormatting sqref="A2:Z2 A7:Z7 A12:Z12 A17:Z17 A22:Z22 A27:Z27 A32:Z32 A37:Z37 A42:Z42 A47:Z47 A52:Z52 A57:Z57 A62:Z63 A67:Z67 A72:Z72 A75:Z75 A77:Z77">
    <cfRule type="cellIs" dxfId="3" priority="3" operator="equal">
      <formula>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33" t="str">
        <f>'Total Score'!B1</f>
        <v>Llama</v>
      </c>
      <c r="C1" s="33" t="str">
        <f>'Total Score'!C1</f>
        <v>Nic</v>
      </c>
      <c r="D1" s="33" t="str">
        <f>'Total Score'!D1</f>
        <v>Taank</v>
      </c>
      <c r="E1" s="33" t="str">
        <f>'Total Score'!E1</f>
        <v>Elephant</v>
      </c>
      <c r="F1" s="33" t="str">
        <f>'Total Score'!F1</f>
        <v>Jorg</v>
      </c>
      <c r="G1" s="33" t="str">
        <f>'Total Score'!G1</f>
        <v>Deadlock</v>
      </c>
      <c r="H1" s="33" t="str">
        <f>'Total Score'!H1</f>
        <v>Veil</v>
      </c>
      <c r="I1" s="33" t="str">
        <f>'Total Score'!I1</f>
        <v>Arch</v>
      </c>
      <c r="J1" s="33" t="str">
        <f>'Total Score'!J1</f>
        <v>Winter</v>
      </c>
      <c r="K1" s="33" t="str">
        <f>'Total Score'!K1</f>
        <v/>
      </c>
      <c r="L1" s="33" t="str">
        <f>'Total Score'!L1</f>
        <v/>
      </c>
      <c r="M1" s="33" t="str">
        <f>'Total Score'!M1</f>
        <v/>
      </c>
      <c r="N1" s="33" t="str">
        <f>'Total Score'!N1</f>
        <v/>
      </c>
      <c r="O1" s="33" t="str">
        <f>'Total Score'!O1</f>
        <v/>
      </c>
      <c r="P1" s="33" t="str">
        <f>'Total Score'!P1</f>
        <v/>
      </c>
      <c r="Q1" s="33" t="str">
        <f>'Total Score'!Q1</f>
        <v/>
      </c>
      <c r="R1" s="33" t="str">
        <f>'Total Score'!R1</f>
        <v/>
      </c>
      <c r="S1" s="33" t="str">
        <f>'Total Score'!S1</f>
        <v/>
      </c>
      <c r="T1" s="33" t="str">
        <f>'Total Score'!T1</f>
        <v/>
      </c>
      <c r="U1" s="33" t="str">
        <f>'Total Score'!U1</f>
        <v/>
      </c>
      <c r="V1" s="33" t="str">
        <f>'Total Score'!V1</f>
        <v/>
      </c>
      <c r="W1" s="33" t="str">
        <f>'Total Score'!W1</f>
        <v/>
      </c>
      <c r="X1" s="33" t="str">
        <f>'Total Score'!X1</f>
        <v/>
      </c>
      <c r="Y1" s="33" t="str">
        <f>'Total Score'!Y1</f>
        <v/>
      </c>
    </row>
    <row r="2">
      <c r="A2" s="34" t="s">
        <v>27</v>
      </c>
      <c r="B2" s="35">
        <f t="shared" ref="B2:Y2" si="1">IFERROR(10*B3*B5/(B4+1)+10*(B5-1)*((B4+1)/(2*B3)), 2*B6*(2*B5-1))</f>
        <v>0</v>
      </c>
      <c r="C2" s="36">
        <f t="shared" si="1"/>
        <v>10</v>
      </c>
      <c r="D2" s="35">
        <f t="shared" si="1"/>
        <v>-5</v>
      </c>
      <c r="E2" s="35">
        <f t="shared" si="1"/>
        <v>0</v>
      </c>
      <c r="F2" s="35">
        <f t="shared" si="1"/>
        <v>0</v>
      </c>
      <c r="G2" s="35">
        <f t="shared" si="1"/>
        <v>0</v>
      </c>
      <c r="H2" s="36">
        <f t="shared" si="1"/>
        <v>0</v>
      </c>
      <c r="I2" s="36">
        <f t="shared" si="1"/>
        <v>0</v>
      </c>
      <c r="J2" s="37">
        <f t="shared" si="1"/>
        <v>0</v>
      </c>
      <c r="K2" s="35">
        <f t="shared" si="1"/>
        <v>0</v>
      </c>
      <c r="L2" s="35">
        <f t="shared" si="1"/>
        <v>0</v>
      </c>
      <c r="M2" s="35">
        <f t="shared" si="1"/>
        <v>0</v>
      </c>
      <c r="N2" s="35">
        <f t="shared" si="1"/>
        <v>0</v>
      </c>
      <c r="O2" s="35">
        <f t="shared" si="1"/>
        <v>0</v>
      </c>
      <c r="P2" s="35">
        <f t="shared" si="1"/>
        <v>0</v>
      </c>
      <c r="Q2" s="35">
        <f t="shared" si="1"/>
        <v>0</v>
      </c>
      <c r="R2" s="35">
        <f t="shared" si="1"/>
        <v>0</v>
      </c>
      <c r="S2" s="35">
        <f t="shared" si="1"/>
        <v>0</v>
      </c>
      <c r="T2" s="36">
        <f t="shared" si="1"/>
        <v>0</v>
      </c>
      <c r="U2" s="35">
        <f t="shared" si="1"/>
        <v>0</v>
      </c>
      <c r="V2" s="35">
        <f t="shared" si="1"/>
        <v>0</v>
      </c>
      <c r="W2" s="35">
        <f t="shared" si="1"/>
        <v>0</v>
      </c>
      <c r="X2" s="35">
        <f t="shared" si="1"/>
        <v>0</v>
      </c>
      <c r="Y2" s="35">
        <f t="shared" si="1"/>
        <v>0</v>
      </c>
    </row>
    <row r="3">
      <c r="A3" s="38" t="s">
        <v>28</v>
      </c>
      <c r="C3" s="8">
        <v>1.0</v>
      </c>
      <c r="D3" s="8">
        <v>1.0</v>
      </c>
    </row>
    <row r="4">
      <c r="A4" s="8" t="s">
        <v>29</v>
      </c>
    </row>
    <row r="5">
      <c r="A5" s="8" t="s">
        <v>30</v>
      </c>
      <c r="C5" s="8">
        <v>1.0</v>
      </c>
    </row>
    <row r="6">
      <c r="A6" s="18" t="s">
        <v>31</v>
      </c>
      <c r="B6" s="18"/>
      <c r="C6" s="18"/>
      <c r="D6" s="18"/>
      <c r="E6" s="39"/>
      <c r="F6" s="39"/>
      <c r="G6" s="18"/>
      <c r="H6" s="1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34" t="s">
        <v>32</v>
      </c>
      <c r="B7" s="35">
        <f t="shared" ref="B7:Y7" si="2">IFERROR(10*B8*B10/(B9+1)+10*(B10-1)*((B9+1)/(2*B8)), 2*B11*(2*B10-1))</f>
        <v>0</v>
      </c>
      <c r="C7" s="36">
        <f t="shared" si="2"/>
        <v>0</v>
      </c>
      <c r="D7" s="35">
        <f t="shared" si="2"/>
        <v>-5</v>
      </c>
      <c r="E7" s="35">
        <f t="shared" si="2"/>
        <v>0</v>
      </c>
      <c r="F7" s="35">
        <f t="shared" si="2"/>
        <v>0</v>
      </c>
      <c r="G7" s="35">
        <f t="shared" si="2"/>
        <v>0</v>
      </c>
      <c r="H7" s="36">
        <f t="shared" si="2"/>
        <v>10</v>
      </c>
      <c r="I7" s="36">
        <f t="shared" si="2"/>
        <v>0</v>
      </c>
      <c r="J7" s="37">
        <f t="shared" si="2"/>
        <v>0</v>
      </c>
      <c r="K7" s="35">
        <f t="shared" si="2"/>
        <v>0</v>
      </c>
      <c r="L7" s="35">
        <f t="shared" si="2"/>
        <v>0</v>
      </c>
      <c r="M7" s="35">
        <f t="shared" si="2"/>
        <v>0</v>
      </c>
      <c r="N7" s="35">
        <f t="shared" si="2"/>
        <v>0</v>
      </c>
      <c r="O7" s="35">
        <f t="shared" si="2"/>
        <v>0</v>
      </c>
      <c r="P7" s="35">
        <f t="shared" si="2"/>
        <v>0</v>
      </c>
      <c r="Q7" s="35">
        <f t="shared" si="2"/>
        <v>0</v>
      </c>
      <c r="R7" s="35">
        <f t="shared" si="2"/>
        <v>0</v>
      </c>
      <c r="S7" s="35">
        <f t="shared" si="2"/>
        <v>0</v>
      </c>
      <c r="T7" s="36">
        <f t="shared" si="2"/>
        <v>0</v>
      </c>
      <c r="U7" s="35">
        <f t="shared" si="2"/>
        <v>0</v>
      </c>
      <c r="V7" s="35">
        <f t="shared" si="2"/>
        <v>0</v>
      </c>
      <c r="W7" s="35">
        <f t="shared" si="2"/>
        <v>0</v>
      </c>
      <c r="X7" s="35">
        <f t="shared" si="2"/>
        <v>0</v>
      </c>
      <c r="Y7" s="35">
        <f t="shared" si="2"/>
        <v>0</v>
      </c>
    </row>
    <row r="8">
      <c r="A8" s="38" t="s">
        <v>28</v>
      </c>
      <c r="D8" s="8">
        <v>1.0</v>
      </c>
      <c r="H8" s="8">
        <v>1.0</v>
      </c>
    </row>
    <row r="9">
      <c r="A9" s="8" t="s">
        <v>29</v>
      </c>
    </row>
    <row r="10">
      <c r="A10" s="8" t="s">
        <v>30</v>
      </c>
      <c r="H10" s="8">
        <v>1.0</v>
      </c>
    </row>
    <row r="11">
      <c r="A11" s="18" t="s">
        <v>31</v>
      </c>
      <c r="B11" s="18"/>
      <c r="C11" s="18"/>
      <c r="D11" s="18"/>
      <c r="E11" s="39"/>
      <c r="F11" s="39"/>
      <c r="G11" s="18"/>
      <c r="H11" s="1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34" t="s">
        <v>33</v>
      </c>
      <c r="B12" s="35">
        <f t="shared" ref="B12:Y12" si="3">IFERROR(10*B13*B15/(B14+1)+10*(B15-1)*((B14+1)/(2*B13)), 2*B16*(2*B15-1))</f>
        <v>0</v>
      </c>
      <c r="C12" s="36">
        <f t="shared" si="3"/>
        <v>0</v>
      </c>
      <c r="D12" s="35">
        <f t="shared" si="3"/>
        <v>0</v>
      </c>
      <c r="E12" s="35">
        <f t="shared" si="3"/>
        <v>0</v>
      </c>
      <c r="F12" s="35">
        <f t="shared" si="3"/>
        <v>0</v>
      </c>
      <c r="G12" s="35">
        <f t="shared" si="3"/>
        <v>0</v>
      </c>
      <c r="H12" s="36">
        <f t="shared" si="3"/>
        <v>0</v>
      </c>
      <c r="I12" s="36">
        <f t="shared" si="3"/>
        <v>0</v>
      </c>
      <c r="J12" s="37">
        <f t="shared" si="3"/>
        <v>0</v>
      </c>
      <c r="K12" s="35">
        <f t="shared" si="3"/>
        <v>0</v>
      </c>
      <c r="L12" s="35">
        <f t="shared" si="3"/>
        <v>0</v>
      </c>
      <c r="M12" s="35">
        <f t="shared" si="3"/>
        <v>0</v>
      </c>
      <c r="N12" s="35">
        <f t="shared" si="3"/>
        <v>0</v>
      </c>
      <c r="O12" s="35">
        <f t="shared" si="3"/>
        <v>0</v>
      </c>
      <c r="P12" s="35">
        <f t="shared" si="3"/>
        <v>0</v>
      </c>
      <c r="Q12" s="35">
        <f t="shared" si="3"/>
        <v>0</v>
      </c>
      <c r="R12" s="35">
        <f t="shared" si="3"/>
        <v>0</v>
      </c>
      <c r="S12" s="35">
        <f t="shared" si="3"/>
        <v>0</v>
      </c>
      <c r="T12" s="36">
        <f t="shared" si="3"/>
        <v>0</v>
      </c>
      <c r="U12" s="35">
        <f t="shared" si="3"/>
        <v>0</v>
      </c>
      <c r="V12" s="35">
        <f t="shared" si="3"/>
        <v>0</v>
      </c>
      <c r="W12" s="35">
        <f t="shared" si="3"/>
        <v>0</v>
      </c>
      <c r="X12" s="35">
        <f t="shared" si="3"/>
        <v>0</v>
      </c>
      <c r="Y12" s="35">
        <f t="shared" si="3"/>
        <v>0</v>
      </c>
    </row>
    <row r="13">
      <c r="A13" s="38" t="s">
        <v>28</v>
      </c>
    </row>
    <row r="14">
      <c r="A14" s="8" t="s">
        <v>29</v>
      </c>
    </row>
    <row r="15">
      <c r="A15" s="8" t="s">
        <v>30</v>
      </c>
    </row>
    <row r="16">
      <c r="A16" s="18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34" t="s">
        <v>34</v>
      </c>
      <c r="B17" s="35">
        <f t="shared" ref="B17:Y17" si="4">IFERROR(10*B18*B20/(B19+1)+10*(B20-1)*((B19+1)/(2*B18)), 2*B21*(2*B20-1))</f>
        <v>0</v>
      </c>
      <c r="C17" s="36">
        <f t="shared" si="4"/>
        <v>0</v>
      </c>
      <c r="D17" s="35">
        <f t="shared" si="4"/>
        <v>0</v>
      </c>
      <c r="E17" s="35">
        <f t="shared" si="4"/>
        <v>0</v>
      </c>
      <c r="F17" s="35">
        <f t="shared" si="4"/>
        <v>0</v>
      </c>
      <c r="G17" s="35">
        <f t="shared" si="4"/>
        <v>0</v>
      </c>
      <c r="H17" s="36">
        <f t="shared" si="4"/>
        <v>0</v>
      </c>
      <c r="I17" s="36">
        <f t="shared" si="4"/>
        <v>0</v>
      </c>
      <c r="J17" s="37">
        <f t="shared" si="4"/>
        <v>0</v>
      </c>
      <c r="K17" s="35">
        <f t="shared" si="4"/>
        <v>0</v>
      </c>
      <c r="L17" s="35">
        <f t="shared" si="4"/>
        <v>0</v>
      </c>
      <c r="M17" s="35">
        <f t="shared" si="4"/>
        <v>0</v>
      </c>
      <c r="N17" s="35">
        <f t="shared" si="4"/>
        <v>0</v>
      </c>
      <c r="O17" s="35">
        <f t="shared" si="4"/>
        <v>0</v>
      </c>
      <c r="P17" s="35">
        <f t="shared" si="4"/>
        <v>0</v>
      </c>
      <c r="Q17" s="35">
        <f t="shared" si="4"/>
        <v>0</v>
      </c>
      <c r="R17" s="35">
        <f t="shared" si="4"/>
        <v>0</v>
      </c>
      <c r="S17" s="35">
        <f t="shared" si="4"/>
        <v>0</v>
      </c>
      <c r="T17" s="36">
        <f t="shared" si="4"/>
        <v>0</v>
      </c>
      <c r="U17" s="35">
        <f t="shared" si="4"/>
        <v>0</v>
      </c>
      <c r="V17" s="35">
        <f t="shared" si="4"/>
        <v>0</v>
      </c>
      <c r="W17" s="35">
        <f t="shared" si="4"/>
        <v>0</v>
      </c>
      <c r="X17" s="35">
        <f t="shared" si="4"/>
        <v>0</v>
      </c>
      <c r="Y17" s="35">
        <f t="shared" si="4"/>
        <v>0</v>
      </c>
    </row>
    <row r="18">
      <c r="A18" s="38" t="s">
        <v>28</v>
      </c>
    </row>
    <row r="19">
      <c r="A19" s="8" t="s">
        <v>29</v>
      </c>
    </row>
    <row r="20">
      <c r="A20" s="8" t="s">
        <v>30</v>
      </c>
      <c r="H20" s="8"/>
    </row>
    <row r="21">
      <c r="A21" s="18" t="s">
        <v>31</v>
      </c>
      <c r="B21" s="18"/>
      <c r="C21" s="18"/>
      <c r="D21" s="18"/>
      <c r="E21" s="39"/>
      <c r="F21" s="39"/>
      <c r="G21" s="18"/>
      <c r="H21" s="1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34" t="s">
        <v>35</v>
      </c>
      <c r="B22" s="35">
        <f t="shared" ref="B22:Y22" si="5">IFERROR(10*B23*B25/(B24+1)+10*(B25-1)*((B24+1)/(2*B23)), 2*B26*(2*B25-1))</f>
        <v>0</v>
      </c>
      <c r="C22" s="36">
        <f t="shared" si="5"/>
        <v>0</v>
      </c>
      <c r="D22" s="35">
        <f t="shared" si="5"/>
        <v>0</v>
      </c>
      <c r="E22" s="35">
        <f t="shared" si="5"/>
        <v>0</v>
      </c>
      <c r="F22" s="35">
        <f t="shared" si="5"/>
        <v>0</v>
      </c>
      <c r="G22" s="35">
        <f t="shared" si="5"/>
        <v>0</v>
      </c>
      <c r="H22" s="36">
        <f t="shared" si="5"/>
        <v>0</v>
      </c>
      <c r="I22" s="36">
        <f t="shared" si="5"/>
        <v>0</v>
      </c>
      <c r="J22" s="37">
        <f t="shared" si="5"/>
        <v>0</v>
      </c>
      <c r="K22" s="35">
        <f t="shared" si="5"/>
        <v>0</v>
      </c>
      <c r="L22" s="35">
        <f t="shared" si="5"/>
        <v>0</v>
      </c>
      <c r="M22" s="35">
        <f t="shared" si="5"/>
        <v>0</v>
      </c>
      <c r="N22" s="35">
        <f t="shared" si="5"/>
        <v>0</v>
      </c>
      <c r="O22" s="35">
        <f t="shared" si="5"/>
        <v>0</v>
      </c>
      <c r="P22" s="35">
        <f t="shared" si="5"/>
        <v>0</v>
      </c>
      <c r="Q22" s="35">
        <f t="shared" si="5"/>
        <v>0</v>
      </c>
      <c r="R22" s="35">
        <f t="shared" si="5"/>
        <v>0</v>
      </c>
      <c r="S22" s="35">
        <f t="shared" si="5"/>
        <v>0</v>
      </c>
      <c r="T22" s="36">
        <f t="shared" si="5"/>
        <v>0</v>
      </c>
      <c r="U22" s="35">
        <f t="shared" si="5"/>
        <v>0</v>
      </c>
      <c r="V22" s="35">
        <f t="shared" si="5"/>
        <v>0</v>
      </c>
      <c r="W22" s="35">
        <f t="shared" si="5"/>
        <v>0</v>
      </c>
      <c r="X22" s="35">
        <f t="shared" si="5"/>
        <v>0</v>
      </c>
      <c r="Y22" s="35">
        <f t="shared" si="5"/>
        <v>0</v>
      </c>
    </row>
    <row r="23">
      <c r="A23" s="38" t="s">
        <v>28</v>
      </c>
    </row>
    <row r="24">
      <c r="A24" s="8" t="s">
        <v>29</v>
      </c>
    </row>
    <row r="25">
      <c r="A25" s="8" t="s">
        <v>30</v>
      </c>
    </row>
    <row r="26">
      <c r="A26" s="18" t="s">
        <v>31</v>
      </c>
      <c r="B26" s="18"/>
      <c r="C26" s="18"/>
      <c r="D26" s="18"/>
      <c r="E26" s="39"/>
      <c r="F26" s="39"/>
      <c r="G26" s="18"/>
      <c r="H26" s="1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4" t="s">
        <v>36</v>
      </c>
      <c r="B27" s="35">
        <f t="shared" ref="B27:Y27" si="6">IFERROR(10*B28*B30/(B29+1)+10*(B30-1)*((B29+1)/(2*B28)), 2*B31*(2*B30-1))</f>
        <v>0</v>
      </c>
      <c r="C27" s="36">
        <f t="shared" si="6"/>
        <v>0</v>
      </c>
      <c r="D27" s="35">
        <f t="shared" si="6"/>
        <v>0</v>
      </c>
      <c r="E27" s="35">
        <f t="shared" si="6"/>
        <v>0</v>
      </c>
      <c r="F27" s="35">
        <f t="shared" si="6"/>
        <v>0</v>
      </c>
      <c r="G27" s="35">
        <f t="shared" si="6"/>
        <v>0</v>
      </c>
      <c r="H27" s="36">
        <f t="shared" si="6"/>
        <v>0</v>
      </c>
      <c r="I27" s="36">
        <f t="shared" si="6"/>
        <v>0</v>
      </c>
      <c r="J27" s="37">
        <f t="shared" si="6"/>
        <v>0</v>
      </c>
      <c r="K27" s="35">
        <f t="shared" si="6"/>
        <v>0</v>
      </c>
      <c r="L27" s="35">
        <f t="shared" si="6"/>
        <v>0</v>
      </c>
      <c r="M27" s="35">
        <f t="shared" si="6"/>
        <v>0</v>
      </c>
      <c r="N27" s="35">
        <f t="shared" si="6"/>
        <v>0</v>
      </c>
      <c r="O27" s="35">
        <f t="shared" si="6"/>
        <v>0</v>
      </c>
      <c r="P27" s="35">
        <f t="shared" si="6"/>
        <v>0</v>
      </c>
      <c r="Q27" s="35">
        <f t="shared" si="6"/>
        <v>0</v>
      </c>
      <c r="R27" s="35">
        <f t="shared" si="6"/>
        <v>0</v>
      </c>
      <c r="S27" s="35">
        <f t="shared" si="6"/>
        <v>0</v>
      </c>
      <c r="T27" s="36">
        <f t="shared" si="6"/>
        <v>0</v>
      </c>
      <c r="U27" s="35">
        <f t="shared" si="6"/>
        <v>0</v>
      </c>
      <c r="V27" s="35">
        <f t="shared" si="6"/>
        <v>0</v>
      </c>
      <c r="W27" s="35">
        <f t="shared" si="6"/>
        <v>0</v>
      </c>
      <c r="X27" s="35">
        <f t="shared" si="6"/>
        <v>0</v>
      </c>
      <c r="Y27" s="35">
        <f t="shared" si="6"/>
        <v>0</v>
      </c>
    </row>
    <row r="28">
      <c r="A28" s="38" t="s">
        <v>28</v>
      </c>
    </row>
    <row r="29">
      <c r="A29" s="8" t="s">
        <v>29</v>
      </c>
    </row>
    <row r="30">
      <c r="A30" s="8" t="s">
        <v>30</v>
      </c>
      <c r="H30" s="8"/>
    </row>
    <row r="31">
      <c r="A31" s="18" t="s">
        <v>31</v>
      </c>
      <c r="B31" s="18"/>
      <c r="C31" s="18"/>
      <c r="D31" s="18"/>
      <c r="E31" s="39"/>
      <c r="F31" s="39"/>
      <c r="G31" s="18"/>
      <c r="H31" s="1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4" t="s">
        <v>37</v>
      </c>
      <c r="B32" s="35">
        <f t="shared" ref="B32:Y32" si="7">IFERROR(10*B33*B35/(B34+1)+10*(B35-1)*((B34+1)/(2*B33)), 2*B36*(2*B35-1))</f>
        <v>0</v>
      </c>
      <c r="C32" s="36">
        <f t="shared" si="7"/>
        <v>0</v>
      </c>
      <c r="D32" s="35">
        <f t="shared" si="7"/>
        <v>0</v>
      </c>
      <c r="E32" s="35">
        <f t="shared" si="7"/>
        <v>0</v>
      </c>
      <c r="F32" s="35">
        <f t="shared" si="7"/>
        <v>0</v>
      </c>
      <c r="G32" s="35">
        <f t="shared" si="7"/>
        <v>0</v>
      </c>
      <c r="H32" s="36">
        <f t="shared" si="7"/>
        <v>0</v>
      </c>
      <c r="I32" s="36">
        <f t="shared" si="7"/>
        <v>0</v>
      </c>
      <c r="J32" s="37">
        <f t="shared" si="7"/>
        <v>0</v>
      </c>
      <c r="K32" s="35">
        <f t="shared" si="7"/>
        <v>0</v>
      </c>
      <c r="L32" s="35">
        <f t="shared" si="7"/>
        <v>0</v>
      </c>
      <c r="M32" s="35">
        <f t="shared" si="7"/>
        <v>0</v>
      </c>
      <c r="N32" s="35">
        <f t="shared" si="7"/>
        <v>0</v>
      </c>
      <c r="O32" s="35">
        <f t="shared" si="7"/>
        <v>0</v>
      </c>
      <c r="P32" s="35">
        <f t="shared" si="7"/>
        <v>0</v>
      </c>
      <c r="Q32" s="35">
        <f t="shared" si="7"/>
        <v>0</v>
      </c>
      <c r="R32" s="35">
        <f t="shared" si="7"/>
        <v>0</v>
      </c>
      <c r="S32" s="35">
        <f t="shared" si="7"/>
        <v>0</v>
      </c>
      <c r="T32" s="36">
        <f t="shared" si="7"/>
        <v>0</v>
      </c>
      <c r="U32" s="35">
        <f t="shared" si="7"/>
        <v>0</v>
      </c>
      <c r="V32" s="35">
        <f t="shared" si="7"/>
        <v>0</v>
      </c>
      <c r="W32" s="35">
        <f t="shared" si="7"/>
        <v>0</v>
      </c>
      <c r="X32" s="35">
        <f t="shared" si="7"/>
        <v>0</v>
      </c>
      <c r="Y32" s="35">
        <f t="shared" si="7"/>
        <v>0</v>
      </c>
    </row>
    <row r="33">
      <c r="A33" s="38" t="s">
        <v>28</v>
      </c>
    </row>
    <row r="34">
      <c r="A34" s="8" t="s">
        <v>29</v>
      </c>
    </row>
    <row r="35">
      <c r="A35" s="8" t="s">
        <v>30</v>
      </c>
      <c r="H35" s="8"/>
    </row>
    <row r="36">
      <c r="A36" s="18" t="s">
        <v>31</v>
      </c>
      <c r="B36" s="18"/>
      <c r="C36" s="18"/>
      <c r="D36" s="18"/>
      <c r="E36" s="39"/>
      <c r="F36" s="39"/>
      <c r="G36" s="18"/>
      <c r="H36" s="1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4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8"/>
    </row>
    <row r="40">
      <c r="A40" s="42"/>
    </row>
    <row r="41">
      <c r="A41" s="8"/>
      <c r="B41" s="8"/>
      <c r="C41" s="8"/>
      <c r="D41" s="8"/>
      <c r="G41" s="8"/>
      <c r="H41" s="8"/>
    </row>
    <row r="42">
      <c r="A42" s="3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8"/>
    </row>
    <row r="45">
      <c r="A45" s="42"/>
    </row>
    <row r="46">
      <c r="A46" s="8"/>
      <c r="B46" s="8"/>
      <c r="C46" s="8"/>
      <c r="D46" s="8"/>
      <c r="G46" s="8"/>
      <c r="H46" s="8"/>
    </row>
    <row r="47">
      <c r="A47" s="3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8"/>
    </row>
    <row r="50">
      <c r="A50" s="42"/>
    </row>
    <row r="51">
      <c r="A51" s="8"/>
      <c r="B51" s="8"/>
      <c r="C51" s="8"/>
      <c r="D51" s="8"/>
      <c r="G51" s="8"/>
      <c r="H51" s="8"/>
    </row>
    <row r="52">
      <c r="A52" s="34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8"/>
    </row>
    <row r="55">
      <c r="A55" s="42"/>
    </row>
    <row r="56">
      <c r="A56" s="8"/>
      <c r="B56" s="8"/>
      <c r="C56" s="8"/>
      <c r="D56" s="8"/>
      <c r="G56" s="8"/>
      <c r="H56" s="8"/>
    </row>
    <row r="57">
      <c r="A57" s="34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8"/>
    </row>
    <row r="60">
      <c r="A60" s="42"/>
    </row>
    <row r="61">
      <c r="A61" s="8"/>
      <c r="B61" s="8"/>
      <c r="C61" s="8"/>
      <c r="D61" s="8"/>
      <c r="G61" s="8"/>
      <c r="H61" s="8"/>
    </row>
    <row r="62">
      <c r="A62" s="3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8"/>
    </row>
    <row r="65">
      <c r="A65" s="42"/>
    </row>
    <row r="66">
      <c r="A66" s="8"/>
      <c r="B66" s="8"/>
      <c r="C66" s="8"/>
      <c r="D66" s="8"/>
      <c r="G66" s="8"/>
      <c r="H66" s="8"/>
    </row>
    <row r="67">
      <c r="A67" s="34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8"/>
    </row>
    <row r="70">
      <c r="A70" s="42"/>
    </row>
    <row r="71">
      <c r="A71" s="8"/>
      <c r="B71" s="8"/>
      <c r="C71" s="8"/>
      <c r="D71" s="8"/>
      <c r="G71" s="8"/>
      <c r="H71" s="8"/>
    </row>
    <row r="72">
      <c r="A72" s="3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8"/>
    </row>
    <row r="75">
      <c r="A75" s="42"/>
    </row>
    <row r="76">
      <c r="A76" s="8"/>
      <c r="B76" s="8"/>
      <c r="C76" s="8"/>
      <c r="D76" s="8"/>
      <c r="G76" s="8"/>
      <c r="H76" s="8"/>
    </row>
    <row r="77">
      <c r="A77" s="3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8"/>
    </row>
    <row r="80">
      <c r="A80" s="42"/>
    </row>
    <row r="81">
      <c r="A81" s="8"/>
      <c r="B81" s="8"/>
      <c r="C81" s="8"/>
      <c r="D81" s="8"/>
      <c r="G81" s="8"/>
      <c r="H81" s="8"/>
    </row>
  </sheetData>
  <conditionalFormatting sqref="A2:Y2 A7:Y7 A12:Y12 A17:Y17 A22:Y22 A27:Y27 A32:Y32 A37:Y37 A42:Y42 A47:Y47 A52:Y52 A57:Y57 A63:Y63 A67:Y67 A72:Y72 A75:Y75 A77:Y77">
    <cfRule type="cellIs" dxfId="1" priority="1" operator="lessThan">
      <formula>0</formula>
    </cfRule>
  </conditionalFormatting>
  <conditionalFormatting sqref="A2:Y2 A7:Y7 A12:Y12 A17:Y17 A22:Y22 A27:Y27 A32:Y32 A37:Y37 A42:Y42 A47:Y47 A52:Y52 A57:Y57 A62:Y62 A67:Y67 A72:Y72 A77:Y77">
    <cfRule type="cellIs" dxfId="2" priority="2" operator="greaterThan">
      <formula>0</formula>
    </cfRule>
  </conditionalFormatting>
  <conditionalFormatting sqref="A2:Y2 A7:Y7 A12:Y12 A17:Y17 A22:Y22 A27:Y27 A32:Y32 A37:Y37 A42:Y42 A47:Y47 A52:Y52 A57:Y57 A62:Y63 A67:Y67 A72:Y72 A75:Y75 A77:Y77">
    <cfRule type="cellIs" dxfId="3" priority="3" operator="equal">
      <formula>0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33" t="str">
        <f>'Total Score'!B1</f>
        <v>Llama</v>
      </c>
      <c r="C1" s="33" t="str">
        <f>'Total Score'!C1</f>
        <v>Nic</v>
      </c>
      <c r="D1" s="33" t="str">
        <f>'Total Score'!D1</f>
        <v>Taank</v>
      </c>
      <c r="E1" s="33" t="str">
        <f>'Total Score'!E1</f>
        <v>Elephant</v>
      </c>
      <c r="F1" s="33" t="str">
        <f>'Total Score'!F1</f>
        <v>Jorg</v>
      </c>
      <c r="G1" s="33" t="str">
        <f>'Total Score'!G1</f>
        <v>Deadlock</v>
      </c>
      <c r="H1" s="33" t="str">
        <f>'Total Score'!H1</f>
        <v>Veil</v>
      </c>
      <c r="I1" s="33" t="str">
        <f>'Total Score'!I1</f>
        <v>Arch</v>
      </c>
      <c r="J1" s="33" t="str">
        <f>'Total Score'!J1</f>
        <v>Winter</v>
      </c>
      <c r="K1" s="33" t="str">
        <f>'Total Score'!K1</f>
        <v/>
      </c>
      <c r="L1" s="33" t="str">
        <f>'Total Score'!L1</f>
        <v/>
      </c>
      <c r="M1" s="33" t="str">
        <f>'Total Score'!M1</f>
        <v/>
      </c>
      <c r="N1" s="33" t="str">
        <f>'Total Score'!N1</f>
        <v/>
      </c>
      <c r="O1" s="33" t="str">
        <f>'Total Score'!O1</f>
        <v/>
      </c>
      <c r="P1" s="33" t="str">
        <f>'Total Score'!P1</f>
        <v/>
      </c>
      <c r="Q1" s="33" t="str">
        <f>'Total Score'!Q1</f>
        <v/>
      </c>
      <c r="R1" s="33" t="str">
        <f>'Total Score'!R1</f>
        <v/>
      </c>
      <c r="S1" s="33" t="str">
        <f>'Total Score'!S1</f>
        <v/>
      </c>
      <c r="T1" s="33" t="str">
        <f>'Total Score'!T1</f>
        <v/>
      </c>
      <c r="U1" s="33" t="str">
        <f>'Total Score'!U1</f>
        <v/>
      </c>
      <c r="V1" s="33" t="str">
        <f>'Total Score'!V1</f>
        <v/>
      </c>
      <c r="W1" s="33" t="str">
        <f>'Total Score'!W1</f>
        <v/>
      </c>
      <c r="X1" s="33" t="str">
        <f>'Total Score'!X1</f>
        <v/>
      </c>
      <c r="Y1" s="33" t="str">
        <f>'Total Score'!Y1</f>
        <v/>
      </c>
    </row>
    <row r="2">
      <c r="A2" s="34" t="s">
        <v>27</v>
      </c>
      <c r="B2" s="35">
        <f t="shared" ref="B2:Y2" si="1">IFERROR(10*B3*B5/(B4+1)+10*(B5-1)*((B4+1)/(2*B3)), 2*B6*(2*B5-1))</f>
        <v>-2.5</v>
      </c>
      <c r="C2" s="36">
        <f t="shared" si="1"/>
        <v>5</v>
      </c>
      <c r="D2" s="35">
        <f t="shared" si="1"/>
        <v>5</v>
      </c>
      <c r="E2" s="35">
        <f t="shared" si="1"/>
        <v>0</v>
      </c>
      <c r="F2" s="35">
        <f t="shared" si="1"/>
        <v>0</v>
      </c>
      <c r="G2" s="35">
        <f t="shared" si="1"/>
        <v>0</v>
      </c>
      <c r="H2" s="36">
        <f t="shared" si="1"/>
        <v>0</v>
      </c>
      <c r="I2" s="36">
        <f t="shared" si="1"/>
        <v>0</v>
      </c>
      <c r="J2" s="37">
        <f t="shared" si="1"/>
        <v>0</v>
      </c>
      <c r="K2" s="35">
        <f t="shared" si="1"/>
        <v>0</v>
      </c>
      <c r="L2" s="35">
        <f t="shared" si="1"/>
        <v>0</v>
      </c>
      <c r="M2" s="35">
        <f t="shared" si="1"/>
        <v>0</v>
      </c>
      <c r="N2" s="35">
        <f t="shared" si="1"/>
        <v>0</v>
      </c>
      <c r="O2" s="35">
        <f t="shared" si="1"/>
        <v>0</v>
      </c>
      <c r="P2" s="35">
        <f t="shared" si="1"/>
        <v>0</v>
      </c>
      <c r="Q2" s="35">
        <f t="shared" si="1"/>
        <v>0</v>
      </c>
      <c r="R2" s="35">
        <f t="shared" si="1"/>
        <v>0</v>
      </c>
      <c r="S2" s="35">
        <f t="shared" si="1"/>
        <v>0</v>
      </c>
      <c r="T2" s="36">
        <f t="shared" si="1"/>
        <v>0</v>
      </c>
      <c r="U2" s="35">
        <f t="shared" si="1"/>
        <v>0</v>
      </c>
      <c r="V2" s="35">
        <f t="shared" si="1"/>
        <v>0</v>
      </c>
      <c r="W2" s="35">
        <f t="shared" si="1"/>
        <v>0</v>
      </c>
      <c r="X2" s="35">
        <f t="shared" si="1"/>
        <v>0</v>
      </c>
      <c r="Y2" s="35">
        <f t="shared" si="1"/>
        <v>0</v>
      </c>
    </row>
    <row r="3">
      <c r="A3" s="38" t="s">
        <v>28</v>
      </c>
      <c r="B3" s="8">
        <v>2.0</v>
      </c>
      <c r="C3" s="8">
        <v>1.0</v>
      </c>
      <c r="D3" s="8">
        <v>1.0</v>
      </c>
    </row>
    <row r="4">
      <c r="A4" s="8" t="s">
        <v>29</v>
      </c>
      <c r="C4" s="8">
        <v>1.0</v>
      </c>
      <c r="D4" s="8">
        <v>1.0</v>
      </c>
    </row>
    <row r="5">
      <c r="A5" s="8" t="s">
        <v>30</v>
      </c>
      <c r="C5" s="8">
        <v>1.0</v>
      </c>
      <c r="D5" s="8">
        <v>1.0</v>
      </c>
    </row>
    <row r="6">
      <c r="A6" s="18" t="s">
        <v>31</v>
      </c>
      <c r="B6" s="18"/>
      <c r="C6" s="18"/>
      <c r="D6" s="18"/>
      <c r="E6" s="39"/>
      <c r="F6" s="39"/>
      <c r="G6" s="18"/>
      <c r="H6" s="1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34" t="s">
        <v>32</v>
      </c>
      <c r="B7" s="35">
        <f t="shared" ref="B7:Y7" si="2">IFERROR(10*B8*B10/(B9+1)+10*(B10-1)*((B9+1)/(2*B8)), 2*B11*(2*B10-1))</f>
        <v>0</v>
      </c>
      <c r="C7" s="36">
        <f t="shared" si="2"/>
        <v>25</v>
      </c>
      <c r="D7" s="35">
        <f t="shared" si="2"/>
        <v>-12.5</v>
      </c>
      <c r="E7" s="35">
        <f t="shared" si="2"/>
        <v>0</v>
      </c>
      <c r="F7" s="35">
        <f t="shared" si="2"/>
        <v>-12.5</v>
      </c>
      <c r="G7" s="35">
        <f t="shared" si="2"/>
        <v>-12.5</v>
      </c>
      <c r="H7" s="36">
        <f t="shared" si="2"/>
        <v>25</v>
      </c>
      <c r="I7" s="36">
        <f t="shared" si="2"/>
        <v>-12.5</v>
      </c>
      <c r="J7" s="37">
        <f t="shared" si="2"/>
        <v>-12.5</v>
      </c>
      <c r="K7" s="35">
        <f t="shared" si="2"/>
        <v>0</v>
      </c>
      <c r="L7" s="35">
        <f t="shared" si="2"/>
        <v>0</v>
      </c>
      <c r="M7" s="35">
        <f t="shared" si="2"/>
        <v>0</v>
      </c>
      <c r="N7" s="35">
        <f t="shared" si="2"/>
        <v>0</v>
      </c>
      <c r="O7" s="35">
        <f t="shared" si="2"/>
        <v>0</v>
      </c>
      <c r="P7" s="35">
        <f t="shared" si="2"/>
        <v>0</v>
      </c>
      <c r="Q7" s="35">
        <f t="shared" si="2"/>
        <v>0</v>
      </c>
      <c r="R7" s="35">
        <f t="shared" si="2"/>
        <v>0</v>
      </c>
      <c r="S7" s="35">
        <f t="shared" si="2"/>
        <v>0</v>
      </c>
      <c r="T7" s="36">
        <f t="shared" si="2"/>
        <v>0</v>
      </c>
      <c r="U7" s="35">
        <f t="shared" si="2"/>
        <v>0</v>
      </c>
      <c r="V7" s="35">
        <f t="shared" si="2"/>
        <v>0</v>
      </c>
      <c r="W7" s="35">
        <f t="shared" si="2"/>
        <v>0</v>
      </c>
      <c r="X7" s="35">
        <f t="shared" si="2"/>
        <v>0</v>
      </c>
      <c r="Y7" s="35">
        <f t="shared" si="2"/>
        <v>0</v>
      </c>
    </row>
    <row r="8">
      <c r="A8" s="38" t="s">
        <v>28</v>
      </c>
      <c r="C8" s="8">
        <v>5.0</v>
      </c>
      <c r="D8" s="8">
        <v>2.0</v>
      </c>
      <c r="F8" s="8">
        <v>2.0</v>
      </c>
      <c r="G8" s="8">
        <v>2.0</v>
      </c>
      <c r="H8" s="8">
        <v>5.0</v>
      </c>
      <c r="I8" s="8">
        <v>2.0</v>
      </c>
      <c r="J8" s="8">
        <v>2.0</v>
      </c>
    </row>
    <row r="9">
      <c r="A9" s="8" t="s">
        <v>29</v>
      </c>
      <c r="C9" s="8">
        <v>1.0</v>
      </c>
      <c r="D9" s="8">
        <v>4.0</v>
      </c>
      <c r="F9" s="8">
        <v>4.0</v>
      </c>
      <c r="G9" s="8">
        <v>4.0</v>
      </c>
      <c r="H9" s="8">
        <v>1.0</v>
      </c>
      <c r="I9" s="8">
        <v>4.0</v>
      </c>
      <c r="J9" s="8">
        <v>4.0</v>
      </c>
    </row>
    <row r="10">
      <c r="A10" s="8" t="s">
        <v>30</v>
      </c>
      <c r="C10" s="8">
        <v>1.0</v>
      </c>
      <c r="H10" s="8">
        <v>1.0</v>
      </c>
    </row>
    <row r="11">
      <c r="A11" s="18" t="s">
        <v>31</v>
      </c>
      <c r="B11" s="18"/>
      <c r="C11" s="18"/>
      <c r="D11" s="18"/>
      <c r="E11" s="39"/>
      <c r="F11" s="39"/>
      <c r="G11" s="18"/>
      <c r="H11" s="1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34" t="s">
        <v>33</v>
      </c>
      <c r="B12" s="35">
        <f t="shared" ref="B12:Y12" si="3">IFERROR(10*B13*B15/(B14+1)+10*(B15-1)*((B14+1)/(2*B13)), 2*B16*(2*B15-1))</f>
        <v>0</v>
      </c>
      <c r="C12" s="36">
        <f t="shared" si="3"/>
        <v>0</v>
      </c>
      <c r="D12" s="35">
        <f t="shared" si="3"/>
        <v>0</v>
      </c>
      <c r="E12" s="35">
        <f t="shared" si="3"/>
        <v>0</v>
      </c>
      <c r="F12" s="35">
        <f t="shared" si="3"/>
        <v>0</v>
      </c>
      <c r="G12" s="35">
        <f t="shared" si="3"/>
        <v>0</v>
      </c>
      <c r="H12" s="36">
        <f t="shared" si="3"/>
        <v>0</v>
      </c>
      <c r="I12" s="36">
        <f t="shared" si="3"/>
        <v>0</v>
      </c>
      <c r="J12" s="37">
        <f t="shared" si="3"/>
        <v>0</v>
      </c>
      <c r="K12" s="35">
        <f t="shared" si="3"/>
        <v>0</v>
      </c>
      <c r="L12" s="35">
        <f t="shared" si="3"/>
        <v>0</v>
      </c>
      <c r="M12" s="35">
        <f t="shared" si="3"/>
        <v>0</v>
      </c>
      <c r="N12" s="35">
        <f t="shared" si="3"/>
        <v>0</v>
      </c>
      <c r="O12" s="35">
        <f t="shared" si="3"/>
        <v>0</v>
      </c>
      <c r="P12" s="35">
        <f t="shared" si="3"/>
        <v>0</v>
      </c>
      <c r="Q12" s="35">
        <f t="shared" si="3"/>
        <v>0</v>
      </c>
      <c r="R12" s="35">
        <f t="shared" si="3"/>
        <v>0</v>
      </c>
      <c r="S12" s="35">
        <f t="shared" si="3"/>
        <v>0</v>
      </c>
      <c r="T12" s="36">
        <f t="shared" si="3"/>
        <v>0</v>
      </c>
      <c r="U12" s="35">
        <f t="shared" si="3"/>
        <v>0</v>
      </c>
      <c r="V12" s="35">
        <f t="shared" si="3"/>
        <v>0</v>
      </c>
      <c r="W12" s="35">
        <f t="shared" si="3"/>
        <v>0</v>
      </c>
      <c r="X12" s="35">
        <f t="shared" si="3"/>
        <v>0</v>
      </c>
      <c r="Y12" s="35">
        <f t="shared" si="3"/>
        <v>0</v>
      </c>
    </row>
    <row r="13">
      <c r="A13" s="38" t="s">
        <v>28</v>
      </c>
    </row>
    <row r="14">
      <c r="A14" s="8" t="s">
        <v>29</v>
      </c>
    </row>
    <row r="15">
      <c r="A15" s="8" t="s">
        <v>30</v>
      </c>
    </row>
    <row r="16">
      <c r="A16" s="18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34" t="s">
        <v>34</v>
      </c>
      <c r="B17" s="35">
        <f t="shared" ref="B17:Y17" si="4">IFERROR(10*B18*B20/(B19+1)+10*(B20-1)*((B19+1)/(2*B18)), 2*B21*(2*B20-1))</f>
        <v>0</v>
      </c>
      <c r="C17" s="36">
        <f t="shared" si="4"/>
        <v>0</v>
      </c>
      <c r="D17" s="35">
        <f t="shared" si="4"/>
        <v>0</v>
      </c>
      <c r="E17" s="35">
        <f t="shared" si="4"/>
        <v>0</v>
      </c>
      <c r="F17" s="35">
        <f t="shared" si="4"/>
        <v>0</v>
      </c>
      <c r="G17" s="35">
        <f t="shared" si="4"/>
        <v>0</v>
      </c>
      <c r="H17" s="36">
        <f t="shared" si="4"/>
        <v>0</v>
      </c>
      <c r="I17" s="36">
        <f t="shared" si="4"/>
        <v>0</v>
      </c>
      <c r="J17" s="37">
        <f t="shared" si="4"/>
        <v>0</v>
      </c>
      <c r="K17" s="35">
        <f t="shared" si="4"/>
        <v>0</v>
      </c>
      <c r="L17" s="35">
        <f t="shared" si="4"/>
        <v>0</v>
      </c>
      <c r="M17" s="35">
        <f t="shared" si="4"/>
        <v>0</v>
      </c>
      <c r="N17" s="35">
        <f t="shared" si="4"/>
        <v>0</v>
      </c>
      <c r="O17" s="35">
        <f t="shared" si="4"/>
        <v>0</v>
      </c>
      <c r="P17" s="35">
        <f t="shared" si="4"/>
        <v>0</v>
      </c>
      <c r="Q17" s="35">
        <f t="shared" si="4"/>
        <v>0</v>
      </c>
      <c r="R17" s="35">
        <f t="shared" si="4"/>
        <v>0</v>
      </c>
      <c r="S17" s="35">
        <f t="shared" si="4"/>
        <v>0</v>
      </c>
      <c r="T17" s="36">
        <f t="shared" si="4"/>
        <v>0</v>
      </c>
      <c r="U17" s="35">
        <f t="shared" si="4"/>
        <v>0</v>
      </c>
      <c r="V17" s="35">
        <f t="shared" si="4"/>
        <v>0</v>
      </c>
      <c r="W17" s="35">
        <f t="shared" si="4"/>
        <v>0</v>
      </c>
      <c r="X17" s="35">
        <f t="shared" si="4"/>
        <v>0</v>
      </c>
      <c r="Y17" s="35">
        <f t="shared" si="4"/>
        <v>0</v>
      </c>
    </row>
    <row r="18">
      <c r="A18" s="38" t="s">
        <v>28</v>
      </c>
    </row>
    <row r="19">
      <c r="A19" s="8" t="s">
        <v>29</v>
      </c>
    </row>
    <row r="20">
      <c r="A20" s="8" t="s">
        <v>30</v>
      </c>
    </row>
    <row r="21">
      <c r="A21" s="18" t="s">
        <v>31</v>
      </c>
      <c r="B21" s="18"/>
      <c r="C21" s="18"/>
      <c r="D21" s="18"/>
      <c r="E21" s="39"/>
      <c r="F21" s="39"/>
      <c r="G21" s="18"/>
      <c r="H21" s="1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34" t="s">
        <v>35</v>
      </c>
      <c r="B22" s="35">
        <f t="shared" ref="B22:Y22" si="5">IFERROR(10*B23*B25/(B24+1)+10*(B25-1)*((B24+1)/(2*B23)), 2*B26*(2*B25-1))</f>
        <v>0</v>
      </c>
      <c r="C22" s="36">
        <f t="shared" si="5"/>
        <v>0</v>
      </c>
      <c r="D22" s="35">
        <f t="shared" si="5"/>
        <v>0</v>
      </c>
      <c r="E22" s="35">
        <f t="shared" si="5"/>
        <v>0</v>
      </c>
      <c r="F22" s="35">
        <f t="shared" si="5"/>
        <v>0</v>
      </c>
      <c r="G22" s="35">
        <f t="shared" si="5"/>
        <v>0</v>
      </c>
      <c r="H22" s="36">
        <f t="shared" si="5"/>
        <v>0</v>
      </c>
      <c r="I22" s="36">
        <f t="shared" si="5"/>
        <v>0</v>
      </c>
      <c r="J22" s="37">
        <f t="shared" si="5"/>
        <v>0</v>
      </c>
      <c r="K22" s="35">
        <f t="shared" si="5"/>
        <v>0</v>
      </c>
      <c r="L22" s="35">
        <f t="shared" si="5"/>
        <v>0</v>
      </c>
      <c r="M22" s="35">
        <f t="shared" si="5"/>
        <v>0</v>
      </c>
      <c r="N22" s="35">
        <f t="shared" si="5"/>
        <v>0</v>
      </c>
      <c r="O22" s="35">
        <f t="shared" si="5"/>
        <v>0</v>
      </c>
      <c r="P22" s="35">
        <f t="shared" si="5"/>
        <v>0</v>
      </c>
      <c r="Q22" s="35">
        <f t="shared" si="5"/>
        <v>0</v>
      </c>
      <c r="R22" s="35">
        <f t="shared" si="5"/>
        <v>0</v>
      </c>
      <c r="S22" s="35">
        <f t="shared" si="5"/>
        <v>0</v>
      </c>
      <c r="T22" s="36">
        <f t="shared" si="5"/>
        <v>0</v>
      </c>
      <c r="U22" s="35">
        <f t="shared" si="5"/>
        <v>0</v>
      </c>
      <c r="V22" s="35">
        <f t="shared" si="5"/>
        <v>0</v>
      </c>
      <c r="W22" s="35">
        <f t="shared" si="5"/>
        <v>0</v>
      </c>
      <c r="X22" s="35">
        <f t="shared" si="5"/>
        <v>0</v>
      </c>
      <c r="Y22" s="35">
        <f t="shared" si="5"/>
        <v>0</v>
      </c>
    </row>
    <row r="23">
      <c r="A23" s="38" t="s">
        <v>28</v>
      </c>
    </row>
    <row r="24">
      <c r="A24" s="8" t="s">
        <v>29</v>
      </c>
    </row>
    <row r="25">
      <c r="A25" s="8" t="s">
        <v>30</v>
      </c>
      <c r="H25" s="8"/>
    </row>
    <row r="26">
      <c r="A26" s="18" t="s">
        <v>31</v>
      </c>
      <c r="B26" s="18"/>
      <c r="C26" s="18"/>
      <c r="D26" s="18"/>
      <c r="E26" s="39"/>
      <c r="F26" s="39"/>
      <c r="G26" s="18"/>
      <c r="H26" s="1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4" t="s">
        <v>36</v>
      </c>
      <c r="B27" s="35">
        <f t="shared" ref="B27:Y27" si="6">IFERROR(10*B28*B30/(B29+1)+10*(B30-1)*((B29+1)/(2*B28)), 2*B31*(2*B30-1))</f>
        <v>0</v>
      </c>
      <c r="C27" s="36">
        <f t="shared" si="6"/>
        <v>0</v>
      </c>
      <c r="D27" s="35">
        <f t="shared" si="6"/>
        <v>0</v>
      </c>
      <c r="E27" s="35">
        <f t="shared" si="6"/>
        <v>0</v>
      </c>
      <c r="F27" s="35">
        <f t="shared" si="6"/>
        <v>0</v>
      </c>
      <c r="G27" s="35">
        <f t="shared" si="6"/>
        <v>0</v>
      </c>
      <c r="H27" s="36">
        <f t="shared" si="6"/>
        <v>0</v>
      </c>
      <c r="I27" s="36">
        <f t="shared" si="6"/>
        <v>0</v>
      </c>
      <c r="J27" s="37">
        <f t="shared" si="6"/>
        <v>0</v>
      </c>
      <c r="K27" s="35">
        <f t="shared" si="6"/>
        <v>0</v>
      </c>
      <c r="L27" s="35">
        <f t="shared" si="6"/>
        <v>0</v>
      </c>
      <c r="M27" s="35">
        <f t="shared" si="6"/>
        <v>0</v>
      </c>
      <c r="N27" s="35">
        <f t="shared" si="6"/>
        <v>0</v>
      </c>
      <c r="O27" s="35">
        <f t="shared" si="6"/>
        <v>0</v>
      </c>
      <c r="P27" s="35">
        <f t="shared" si="6"/>
        <v>0</v>
      </c>
      <c r="Q27" s="35">
        <f t="shared" si="6"/>
        <v>0</v>
      </c>
      <c r="R27" s="35">
        <f t="shared" si="6"/>
        <v>0</v>
      </c>
      <c r="S27" s="35">
        <f t="shared" si="6"/>
        <v>0</v>
      </c>
      <c r="T27" s="36">
        <f t="shared" si="6"/>
        <v>0</v>
      </c>
      <c r="U27" s="35">
        <f t="shared" si="6"/>
        <v>0</v>
      </c>
      <c r="V27" s="35">
        <f t="shared" si="6"/>
        <v>0</v>
      </c>
      <c r="W27" s="35">
        <f t="shared" si="6"/>
        <v>0</v>
      </c>
      <c r="X27" s="35">
        <f t="shared" si="6"/>
        <v>0</v>
      </c>
      <c r="Y27" s="35">
        <f t="shared" si="6"/>
        <v>0</v>
      </c>
    </row>
    <row r="28">
      <c r="A28" s="38" t="s">
        <v>28</v>
      </c>
    </row>
    <row r="29">
      <c r="A29" s="8" t="s">
        <v>29</v>
      </c>
    </row>
    <row r="30">
      <c r="A30" s="8" t="s">
        <v>30</v>
      </c>
    </row>
    <row r="31">
      <c r="A31" s="18" t="s">
        <v>31</v>
      </c>
      <c r="B31" s="18"/>
      <c r="C31" s="18"/>
      <c r="D31" s="18"/>
      <c r="E31" s="39"/>
      <c r="F31" s="39"/>
      <c r="G31" s="18"/>
      <c r="H31" s="1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4" t="s">
        <v>37</v>
      </c>
      <c r="B32" s="35">
        <f t="shared" ref="B32:Y32" si="7">IFERROR(10*B33*B35/(B34+1)+10*(B35-1)*((B34+1)/(2*B33)), 2*B36*(2*B35-1))</f>
        <v>0</v>
      </c>
      <c r="C32" s="36">
        <f t="shared" si="7"/>
        <v>0</v>
      </c>
      <c r="D32" s="35">
        <f t="shared" si="7"/>
        <v>0</v>
      </c>
      <c r="E32" s="35">
        <f t="shared" si="7"/>
        <v>0</v>
      </c>
      <c r="F32" s="35">
        <f t="shared" si="7"/>
        <v>0</v>
      </c>
      <c r="G32" s="35">
        <f t="shared" si="7"/>
        <v>0</v>
      </c>
      <c r="H32" s="36">
        <f t="shared" si="7"/>
        <v>0</v>
      </c>
      <c r="I32" s="36">
        <f t="shared" si="7"/>
        <v>0</v>
      </c>
      <c r="J32" s="37">
        <f t="shared" si="7"/>
        <v>0</v>
      </c>
      <c r="K32" s="35">
        <f t="shared" si="7"/>
        <v>0</v>
      </c>
      <c r="L32" s="35">
        <f t="shared" si="7"/>
        <v>0</v>
      </c>
      <c r="M32" s="35">
        <f t="shared" si="7"/>
        <v>0</v>
      </c>
      <c r="N32" s="35">
        <f t="shared" si="7"/>
        <v>0</v>
      </c>
      <c r="O32" s="35">
        <f t="shared" si="7"/>
        <v>0</v>
      </c>
      <c r="P32" s="35">
        <f t="shared" si="7"/>
        <v>0</v>
      </c>
      <c r="Q32" s="35">
        <f t="shared" si="7"/>
        <v>0</v>
      </c>
      <c r="R32" s="35">
        <f t="shared" si="7"/>
        <v>0</v>
      </c>
      <c r="S32" s="35">
        <f t="shared" si="7"/>
        <v>0</v>
      </c>
      <c r="T32" s="36">
        <f t="shared" si="7"/>
        <v>0</v>
      </c>
      <c r="U32" s="35">
        <f t="shared" si="7"/>
        <v>0</v>
      </c>
      <c r="V32" s="35">
        <f t="shared" si="7"/>
        <v>0</v>
      </c>
      <c r="W32" s="35">
        <f t="shared" si="7"/>
        <v>0</v>
      </c>
      <c r="X32" s="35">
        <f t="shared" si="7"/>
        <v>0</v>
      </c>
      <c r="Y32" s="35">
        <f t="shared" si="7"/>
        <v>0</v>
      </c>
    </row>
    <row r="33">
      <c r="A33" s="38" t="s">
        <v>28</v>
      </c>
    </row>
    <row r="34">
      <c r="A34" s="8" t="s">
        <v>29</v>
      </c>
    </row>
    <row r="35">
      <c r="A35" s="8" t="s">
        <v>30</v>
      </c>
      <c r="H35" s="8"/>
    </row>
    <row r="36">
      <c r="A36" s="18" t="s">
        <v>31</v>
      </c>
      <c r="B36" s="18"/>
      <c r="C36" s="18"/>
      <c r="D36" s="18"/>
      <c r="E36" s="39"/>
      <c r="F36" s="39"/>
      <c r="G36" s="18"/>
      <c r="H36" s="1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4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8"/>
    </row>
    <row r="40">
      <c r="A40" s="42"/>
    </row>
    <row r="41">
      <c r="A41" s="8"/>
      <c r="B41" s="8"/>
      <c r="C41" s="8"/>
      <c r="D41" s="8"/>
      <c r="G41" s="8"/>
      <c r="H41" s="8"/>
    </row>
    <row r="42">
      <c r="A42" s="3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8"/>
    </row>
    <row r="45">
      <c r="A45" s="42"/>
    </row>
    <row r="46">
      <c r="A46" s="8"/>
      <c r="B46" s="8"/>
      <c r="C46" s="8"/>
      <c r="D46" s="8"/>
      <c r="G46" s="8"/>
      <c r="H46" s="8"/>
    </row>
    <row r="47">
      <c r="A47" s="3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8"/>
    </row>
    <row r="50">
      <c r="A50" s="42"/>
    </row>
    <row r="51">
      <c r="A51" s="8"/>
      <c r="B51" s="8"/>
      <c r="C51" s="8"/>
      <c r="D51" s="8"/>
      <c r="G51" s="8"/>
      <c r="H51" s="8"/>
    </row>
    <row r="52">
      <c r="A52" s="34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8"/>
    </row>
    <row r="55">
      <c r="A55" s="42"/>
    </row>
    <row r="56">
      <c r="A56" s="8"/>
      <c r="B56" s="8"/>
      <c r="C56" s="8"/>
      <c r="D56" s="8"/>
      <c r="G56" s="8"/>
      <c r="H56" s="8"/>
    </row>
    <row r="57">
      <c r="A57" s="34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8"/>
    </row>
    <row r="60">
      <c r="A60" s="42"/>
    </row>
    <row r="61">
      <c r="A61" s="8"/>
      <c r="B61" s="8"/>
      <c r="C61" s="8"/>
      <c r="D61" s="8"/>
      <c r="G61" s="8"/>
      <c r="H61" s="8"/>
    </row>
    <row r="62">
      <c r="A62" s="3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8"/>
    </row>
    <row r="65">
      <c r="A65" s="42"/>
    </row>
    <row r="66">
      <c r="A66" s="8"/>
      <c r="B66" s="8"/>
      <c r="C66" s="8"/>
      <c r="D66" s="8"/>
      <c r="G66" s="8"/>
      <c r="H66" s="8"/>
    </row>
    <row r="67">
      <c r="A67" s="34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8"/>
    </row>
    <row r="70">
      <c r="A70" s="42"/>
    </row>
    <row r="71">
      <c r="A71" s="8"/>
      <c r="B71" s="8"/>
      <c r="C71" s="8"/>
      <c r="D71" s="8"/>
      <c r="G71" s="8"/>
      <c r="H71" s="8"/>
    </row>
    <row r="72">
      <c r="A72" s="3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8"/>
    </row>
    <row r="75">
      <c r="A75" s="42"/>
    </row>
    <row r="76">
      <c r="A76" s="8"/>
      <c r="B76" s="8"/>
      <c r="C76" s="8"/>
      <c r="D76" s="8"/>
      <c r="G76" s="8"/>
      <c r="H76" s="8"/>
    </row>
    <row r="77">
      <c r="A77" s="3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8"/>
    </row>
    <row r="80">
      <c r="A80" s="42"/>
    </row>
    <row r="81">
      <c r="A81" s="8"/>
      <c r="B81" s="8"/>
      <c r="C81" s="8"/>
      <c r="D81" s="8"/>
      <c r="G81" s="8"/>
      <c r="H81" s="8"/>
    </row>
  </sheetData>
  <conditionalFormatting sqref="A2:Y2 A7:Y7 A12:Y12 A17:Y17 A22:Y22 A27:Y27 A32:Y32 A37:Y37 A42:Y42 A47:Y47 A52:Y52 A57:Y57 A63:Y63 A67:Y67 A72:Y72 A75:Y75 A77:Y77">
    <cfRule type="cellIs" dxfId="1" priority="1" operator="lessThan">
      <formula>0</formula>
    </cfRule>
  </conditionalFormatting>
  <conditionalFormatting sqref="A2:Y2 A7:Y7 A12:Y12 A17:Y17 A22:Y22 A27:Y27 A32:Y32 A37:Y37 A42:Y42 A47:Y47 A52:Y52 A57:Y57 A62:Y62 A67:Y67 A72:Y72 A77:Y77">
    <cfRule type="cellIs" dxfId="2" priority="2" operator="greaterThan">
      <formula>0</formula>
    </cfRule>
  </conditionalFormatting>
  <conditionalFormatting sqref="A2:Y2 A7:Y7 A12:Y12 A17:Y17 A22:Y22 A27:Y27 A32:Y32 A37:Y37 A42:Y42 A47:Y47 A52:Y52 A57:Y57 A62:Y63 A67:Y67 A72:Y72 A75:Y75 A77:Y77">
    <cfRule type="cellIs" dxfId="3" priority="3" operator="equal">
      <formula>0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33" t="str">
        <f>'Total Score'!B1</f>
        <v>Llama</v>
      </c>
      <c r="C1" s="33" t="str">
        <f>'Total Score'!C1</f>
        <v>Nic</v>
      </c>
      <c r="D1" s="33" t="str">
        <f>'Total Score'!D1</f>
        <v>Taank</v>
      </c>
      <c r="E1" s="33" t="str">
        <f>'Total Score'!E1</f>
        <v>Elephant</v>
      </c>
      <c r="F1" s="33" t="str">
        <f>'Total Score'!F1</f>
        <v>Jorg</v>
      </c>
      <c r="G1" s="33" t="str">
        <f>'Total Score'!G1</f>
        <v>Deadlock</v>
      </c>
      <c r="H1" s="33" t="str">
        <f>'Total Score'!H1</f>
        <v>Veil</v>
      </c>
      <c r="I1" s="33" t="str">
        <f>'Total Score'!I1</f>
        <v>Arch</v>
      </c>
      <c r="J1" s="33" t="str">
        <f>'Total Score'!J1</f>
        <v>Winter</v>
      </c>
      <c r="K1" s="33" t="str">
        <f>'Total Score'!K1</f>
        <v/>
      </c>
      <c r="L1" s="33" t="str">
        <f>'Total Score'!L1</f>
        <v/>
      </c>
      <c r="M1" s="33" t="str">
        <f>'Total Score'!M1</f>
        <v/>
      </c>
      <c r="N1" s="33" t="str">
        <f>'Total Score'!N1</f>
        <v/>
      </c>
      <c r="O1" s="33" t="str">
        <f>'Total Score'!O1</f>
        <v/>
      </c>
      <c r="P1" s="33" t="str">
        <f>'Total Score'!P1</f>
        <v/>
      </c>
      <c r="Q1" s="33" t="str">
        <f>'Total Score'!Q1</f>
        <v/>
      </c>
      <c r="R1" s="33" t="str">
        <f>'Total Score'!R1</f>
        <v/>
      </c>
      <c r="S1" s="33" t="str">
        <f>'Total Score'!S1</f>
        <v/>
      </c>
      <c r="T1" s="33" t="str">
        <f>'Total Score'!T1</f>
        <v/>
      </c>
      <c r="U1" s="33" t="str">
        <f>'Total Score'!U1</f>
        <v/>
      </c>
      <c r="V1" s="33" t="str">
        <f>'Total Score'!V1</f>
        <v/>
      </c>
      <c r="W1" s="33" t="str">
        <f>'Total Score'!W1</f>
        <v/>
      </c>
      <c r="X1" s="33" t="str">
        <f>'Total Score'!X1</f>
        <v/>
      </c>
      <c r="Y1" s="33" t="str">
        <f>'Total Score'!Y1</f>
        <v/>
      </c>
    </row>
    <row r="2">
      <c r="A2" s="34" t="s">
        <v>27</v>
      </c>
      <c r="B2" s="35">
        <f t="shared" ref="B2:Y2" si="1">IFERROR(10*B3*B5/(B4+1)+10*(B5-1)*((B4+1)/(2*B3)), 2*B6*(2*B5-1))</f>
        <v>0</v>
      </c>
      <c r="C2" s="36">
        <f t="shared" si="1"/>
        <v>0</v>
      </c>
      <c r="D2" s="35">
        <f t="shared" si="1"/>
        <v>0</v>
      </c>
      <c r="E2" s="35">
        <f t="shared" si="1"/>
        <v>0</v>
      </c>
      <c r="F2" s="35">
        <f t="shared" si="1"/>
        <v>0</v>
      </c>
      <c r="G2" s="35">
        <f t="shared" si="1"/>
        <v>0</v>
      </c>
      <c r="H2" s="36">
        <f t="shared" si="1"/>
        <v>0</v>
      </c>
      <c r="I2" s="36">
        <f t="shared" si="1"/>
        <v>0</v>
      </c>
      <c r="J2" s="37">
        <f t="shared" si="1"/>
        <v>0</v>
      </c>
      <c r="K2" s="35">
        <f t="shared" si="1"/>
        <v>0</v>
      </c>
      <c r="L2" s="35">
        <f t="shared" si="1"/>
        <v>0</v>
      </c>
      <c r="M2" s="35">
        <f t="shared" si="1"/>
        <v>0</v>
      </c>
      <c r="N2" s="35">
        <f t="shared" si="1"/>
        <v>0</v>
      </c>
      <c r="O2" s="35">
        <f t="shared" si="1"/>
        <v>0</v>
      </c>
      <c r="P2" s="35">
        <f t="shared" si="1"/>
        <v>0</v>
      </c>
      <c r="Q2" s="35">
        <f t="shared" si="1"/>
        <v>0</v>
      </c>
      <c r="R2" s="35">
        <f t="shared" si="1"/>
        <v>0</v>
      </c>
      <c r="S2" s="35">
        <f t="shared" si="1"/>
        <v>0</v>
      </c>
      <c r="T2" s="36">
        <f t="shared" si="1"/>
        <v>0</v>
      </c>
      <c r="U2" s="35">
        <f t="shared" si="1"/>
        <v>0</v>
      </c>
      <c r="V2" s="35">
        <f t="shared" si="1"/>
        <v>0</v>
      </c>
      <c r="W2" s="35">
        <f t="shared" si="1"/>
        <v>0</v>
      </c>
      <c r="X2" s="35">
        <f t="shared" si="1"/>
        <v>0</v>
      </c>
      <c r="Y2" s="35">
        <f t="shared" si="1"/>
        <v>0</v>
      </c>
    </row>
    <row r="3">
      <c r="A3" s="38" t="s">
        <v>28</v>
      </c>
    </row>
    <row r="4">
      <c r="A4" s="8" t="s">
        <v>29</v>
      </c>
    </row>
    <row r="5">
      <c r="A5" s="8" t="s">
        <v>30</v>
      </c>
    </row>
    <row r="6">
      <c r="A6" s="18" t="s">
        <v>31</v>
      </c>
      <c r="B6" s="18"/>
      <c r="C6" s="18"/>
      <c r="D6" s="18"/>
      <c r="E6" s="39"/>
      <c r="F6" s="39"/>
      <c r="G6" s="18"/>
      <c r="H6" s="1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34" t="s">
        <v>32</v>
      </c>
      <c r="B7" s="35">
        <f t="shared" ref="B7:Y7" si="2">IFERROR(10*B8*B10/(B9+1)+10*(B10-1)*((B9+1)/(2*B8)), 2*B11*(2*B10-1))</f>
        <v>0</v>
      </c>
      <c r="C7" s="36">
        <f t="shared" si="2"/>
        <v>0</v>
      </c>
      <c r="D7" s="35">
        <f t="shared" si="2"/>
        <v>0</v>
      </c>
      <c r="E7" s="35">
        <f t="shared" si="2"/>
        <v>0</v>
      </c>
      <c r="F7" s="35">
        <f t="shared" si="2"/>
        <v>0</v>
      </c>
      <c r="G7" s="35">
        <f t="shared" si="2"/>
        <v>0</v>
      </c>
      <c r="H7" s="36">
        <f t="shared" si="2"/>
        <v>0</v>
      </c>
      <c r="I7" s="36">
        <f t="shared" si="2"/>
        <v>0</v>
      </c>
      <c r="J7" s="37">
        <f t="shared" si="2"/>
        <v>0</v>
      </c>
      <c r="K7" s="35">
        <f t="shared" si="2"/>
        <v>0</v>
      </c>
      <c r="L7" s="35">
        <f t="shared" si="2"/>
        <v>0</v>
      </c>
      <c r="M7" s="35">
        <f t="shared" si="2"/>
        <v>0</v>
      </c>
      <c r="N7" s="35">
        <f t="shared" si="2"/>
        <v>0</v>
      </c>
      <c r="O7" s="35">
        <f t="shared" si="2"/>
        <v>0</v>
      </c>
      <c r="P7" s="35">
        <f t="shared" si="2"/>
        <v>0</v>
      </c>
      <c r="Q7" s="35">
        <f t="shared" si="2"/>
        <v>0</v>
      </c>
      <c r="R7" s="35">
        <f t="shared" si="2"/>
        <v>0</v>
      </c>
      <c r="S7" s="35">
        <f t="shared" si="2"/>
        <v>0</v>
      </c>
      <c r="T7" s="36">
        <f t="shared" si="2"/>
        <v>0</v>
      </c>
      <c r="U7" s="35">
        <f t="shared" si="2"/>
        <v>0</v>
      </c>
      <c r="V7" s="35">
        <f t="shared" si="2"/>
        <v>0</v>
      </c>
      <c r="W7" s="35">
        <f t="shared" si="2"/>
        <v>0</v>
      </c>
      <c r="X7" s="35">
        <f t="shared" si="2"/>
        <v>0</v>
      </c>
      <c r="Y7" s="35">
        <f t="shared" si="2"/>
        <v>0</v>
      </c>
    </row>
    <row r="8">
      <c r="A8" s="38" t="s">
        <v>28</v>
      </c>
    </row>
    <row r="9">
      <c r="A9" s="8" t="s">
        <v>29</v>
      </c>
    </row>
    <row r="10">
      <c r="A10" s="8" t="s">
        <v>30</v>
      </c>
    </row>
    <row r="11">
      <c r="A11" s="18" t="s">
        <v>31</v>
      </c>
      <c r="B11" s="18"/>
      <c r="C11" s="18"/>
      <c r="D11" s="18"/>
      <c r="E11" s="39"/>
      <c r="F11" s="39"/>
      <c r="G11" s="18"/>
      <c r="H11" s="1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34" t="s">
        <v>33</v>
      </c>
      <c r="B12" s="35">
        <f t="shared" ref="B12:Y12" si="3">IFERROR(10*B13*B15/(B14+1)+10*(B15-1)*((B14+1)/(2*B13)), 2*B16*(2*B15-1))</f>
        <v>0</v>
      </c>
      <c r="C12" s="36">
        <f t="shared" si="3"/>
        <v>0</v>
      </c>
      <c r="D12" s="35">
        <f t="shared" si="3"/>
        <v>0</v>
      </c>
      <c r="E12" s="35">
        <f t="shared" si="3"/>
        <v>0</v>
      </c>
      <c r="F12" s="35">
        <f t="shared" si="3"/>
        <v>0</v>
      </c>
      <c r="G12" s="35">
        <f t="shared" si="3"/>
        <v>0</v>
      </c>
      <c r="H12" s="36">
        <f t="shared" si="3"/>
        <v>0</v>
      </c>
      <c r="I12" s="36">
        <f t="shared" si="3"/>
        <v>0</v>
      </c>
      <c r="J12" s="37">
        <f t="shared" si="3"/>
        <v>0</v>
      </c>
      <c r="K12" s="35">
        <f t="shared" si="3"/>
        <v>0</v>
      </c>
      <c r="L12" s="35">
        <f t="shared" si="3"/>
        <v>0</v>
      </c>
      <c r="M12" s="35">
        <f t="shared" si="3"/>
        <v>0</v>
      </c>
      <c r="N12" s="35">
        <f t="shared" si="3"/>
        <v>0</v>
      </c>
      <c r="O12" s="35">
        <f t="shared" si="3"/>
        <v>0</v>
      </c>
      <c r="P12" s="35">
        <f t="shared" si="3"/>
        <v>0</v>
      </c>
      <c r="Q12" s="35">
        <f t="shared" si="3"/>
        <v>0</v>
      </c>
      <c r="R12" s="35">
        <f t="shared" si="3"/>
        <v>0</v>
      </c>
      <c r="S12" s="35">
        <f t="shared" si="3"/>
        <v>0</v>
      </c>
      <c r="T12" s="36">
        <f t="shared" si="3"/>
        <v>0</v>
      </c>
      <c r="U12" s="35">
        <f t="shared" si="3"/>
        <v>0</v>
      </c>
      <c r="V12" s="35">
        <f t="shared" si="3"/>
        <v>0</v>
      </c>
      <c r="W12" s="35">
        <f t="shared" si="3"/>
        <v>0</v>
      </c>
      <c r="X12" s="35">
        <f t="shared" si="3"/>
        <v>0</v>
      </c>
      <c r="Y12" s="35">
        <f t="shared" si="3"/>
        <v>0</v>
      </c>
    </row>
    <row r="13">
      <c r="A13" s="38" t="s">
        <v>28</v>
      </c>
    </row>
    <row r="14">
      <c r="A14" s="8" t="s">
        <v>29</v>
      </c>
    </row>
    <row r="15">
      <c r="A15" s="8" t="s">
        <v>30</v>
      </c>
    </row>
    <row r="16">
      <c r="A16" s="18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34" t="s">
        <v>34</v>
      </c>
      <c r="B17" s="35">
        <f t="shared" ref="B17:Y17" si="4">IFERROR(10*B18*B20/(B19+1)+10*(B20-1)*((B19+1)/(2*B18)), 2*B21*(2*B20-1))</f>
        <v>0</v>
      </c>
      <c r="C17" s="36">
        <f t="shared" si="4"/>
        <v>0</v>
      </c>
      <c r="D17" s="35">
        <f t="shared" si="4"/>
        <v>0</v>
      </c>
      <c r="E17" s="35">
        <f t="shared" si="4"/>
        <v>0</v>
      </c>
      <c r="F17" s="35">
        <f t="shared" si="4"/>
        <v>0</v>
      </c>
      <c r="G17" s="35">
        <f t="shared" si="4"/>
        <v>0</v>
      </c>
      <c r="H17" s="36">
        <f t="shared" si="4"/>
        <v>0</v>
      </c>
      <c r="I17" s="36">
        <f t="shared" si="4"/>
        <v>0</v>
      </c>
      <c r="J17" s="37">
        <f t="shared" si="4"/>
        <v>0</v>
      </c>
      <c r="K17" s="35">
        <f t="shared" si="4"/>
        <v>0</v>
      </c>
      <c r="L17" s="35">
        <f t="shared" si="4"/>
        <v>0</v>
      </c>
      <c r="M17" s="35">
        <f t="shared" si="4"/>
        <v>0</v>
      </c>
      <c r="N17" s="35">
        <f t="shared" si="4"/>
        <v>0</v>
      </c>
      <c r="O17" s="35">
        <f t="shared" si="4"/>
        <v>0</v>
      </c>
      <c r="P17" s="35">
        <f t="shared" si="4"/>
        <v>0</v>
      </c>
      <c r="Q17" s="35">
        <f t="shared" si="4"/>
        <v>0</v>
      </c>
      <c r="R17" s="35">
        <f t="shared" si="4"/>
        <v>0</v>
      </c>
      <c r="S17" s="35">
        <f t="shared" si="4"/>
        <v>0</v>
      </c>
      <c r="T17" s="36">
        <f t="shared" si="4"/>
        <v>0</v>
      </c>
      <c r="U17" s="35">
        <f t="shared" si="4"/>
        <v>0</v>
      </c>
      <c r="V17" s="35">
        <f t="shared" si="4"/>
        <v>0</v>
      </c>
      <c r="W17" s="35">
        <f t="shared" si="4"/>
        <v>0</v>
      </c>
      <c r="X17" s="35">
        <f t="shared" si="4"/>
        <v>0</v>
      </c>
      <c r="Y17" s="35">
        <f t="shared" si="4"/>
        <v>0</v>
      </c>
    </row>
    <row r="18">
      <c r="A18" s="38" t="s">
        <v>28</v>
      </c>
    </row>
    <row r="19">
      <c r="A19" s="8" t="s">
        <v>29</v>
      </c>
    </row>
    <row r="20">
      <c r="A20" s="8" t="s">
        <v>30</v>
      </c>
    </row>
    <row r="21">
      <c r="A21" s="18" t="s">
        <v>31</v>
      </c>
      <c r="B21" s="18"/>
      <c r="C21" s="18"/>
      <c r="D21" s="18"/>
      <c r="E21" s="39"/>
      <c r="F21" s="39"/>
      <c r="G21" s="18"/>
      <c r="H21" s="1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34" t="s">
        <v>35</v>
      </c>
      <c r="B22" s="35">
        <f t="shared" ref="B22:Y22" si="5">IFERROR(10*B23*B25/(B24+1)+10*(B25-1)*((B24+1)/(2*B23)), 2*B26*(2*B25-1))</f>
        <v>0</v>
      </c>
      <c r="C22" s="36">
        <f t="shared" si="5"/>
        <v>0</v>
      </c>
      <c r="D22" s="35">
        <f t="shared" si="5"/>
        <v>0</v>
      </c>
      <c r="E22" s="35">
        <f t="shared" si="5"/>
        <v>0</v>
      </c>
      <c r="F22" s="35">
        <f t="shared" si="5"/>
        <v>0</v>
      </c>
      <c r="G22" s="35">
        <f t="shared" si="5"/>
        <v>0</v>
      </c>
      <c r="H22" s="36">
        <f t="shared" si="5"/>
        <v>0</v>
      </c>
      <c r="I22" s="36">
        <f t="shared" si="5"/>
        <v>0</v>
      </c>
      <c r="J22" s="37">
        <f t="shared" si="5"/>
        <v>0</v>
      </c>
      <c r="K22" s="35">
        <f t="shared" si="5"/>
        <v>0</v>
      </c>
      <c r="L22" s="35">
        <f t="shared" si="5"/>
        <v>0</v>
      </c>
      <c r="M22" s="35">
        <f t="shared" si="5"/>
        <v>0</v>
      </c>
      <c r="N22" s="35">
        <f t="shared" si="5"/>
        <v>0</v>
      </c>
      <c r="O22" s="35">
        <f t="shared" si="5"/>
        <v>0</v>
      </c>
      <c r="P22" s="35">
        <f t="shared" si="5"/>
        <v>0</v>
      </c>
      <c r="Q22" s="35">
        <f t="shared" si="5"/>
        <v>0</v>
      </c>
      <c r="R22" s="35">
        <f t="shared" si="5"/>
        <v>0</v>
      </c>
      <c r="S22" s="35">
        <f t="shared" si="5"/>
        <v>0</v>
      </c>
      <c r="T22" s="36">
        <f t="shared" si="5"/>
        <v>0</v>
      </c>
      <c r="U22" s="35">
        <f t="shared" si="5"/>
        <v>0</v>
      </c>
      <c r="V22" s="35">
        <f t="shared" si="5"/>
        <v>0</v>
      </c>
      <c r="W22" s="35">
        <f t="shared" si="5"/>
        <v>0</v>
      </c>
      <c r="X22" s="35">
        <f t="shared" si="5"/>
        <v>0</v>
      </c>
      <c r="Y22" s="35">
        <f t="shared" si="5"/>
        <v>0</v>
      </c>
    </row>
    <row r="23">
      <c r="A23" s="38" t="s">
        <v>28</v>
      </c>
    </row>
    <row r="24">
      <c r="A24" s="8" t="s">
        <v>29</v>
      </c>
    </row>
    <row r="25">
      <c r="A25" s="8" t="s">
        <v>30</v>
      </c>
    </row>
    <row r="26">
      <c r="A26" s="18" t="s">
        <v>31</v>
      </c>
      <c r="B26" s="18"/>
      <c r="C26" s="18"/>
      <c r="D26" s="18"/>
      <c r="E26" s="39"/>
      <c r="F26" s="39"/>
      <c r="G26" s="18"/>
      <c r="H26" s="1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4" t="s">
        <v>36</v>
      </c>
      <c r="B27" s="35">
        <f t="shared" ref="B27:Y27" si="6">IFERROR(10*B28*B30/(B29+1)+10*(B30-1)*((B29+1)/(2*B28)), 2*B31*(2*B30-1))</f>
        <v>0</v>
      </c>
      <c r="C27" s="36">
        <f t="shared" si="6"/>
        <v>0</v>
      </c>
      <c r="D27" s="35">
        <f t="shared" si="6"/>
        <v>0</v>
      </c>
      <c r="E27" s="35">
        <f t="shared" si="6"/>
        <v>0</v>
      </c>
      <c r="F27" s="35">
        <f t="shared" si="6"/>
        <v>0</v>
      </c>
      <c r="G27" s="35">
        <f t="shared" si="6"/>
        <v>0</v>
      </c>
      <c r="H27" s="36">
        <f t="shared" si="6"/>
        <v>0</v>
      </c>
      <c r="I27" s="36">
        <f t="shared" si="6"/>
        <v>0</v>
      </c>
      <c r="J27" s="37">
        <f t="shared" si="6"/>
        <v>0</v>
      </c>
      <c r="K27" s="35">
        <f t="shared" si="6"/>
        <v>0</v>
      </c>
      <c r="L27" s="35">
        <f t="shared" si="6"/>
        <v>0</v>
      </c>
      <c r="M27" s="35">
        <f t="shared" si="6"/>
        <v>0</v>
      </c>
      <c r="N27" s="35">
        <f t="shared" si="6"/>
        <v>0</v>
      </c>
      <c r="O27" s="35">
        <f t="shared" si="6"/>
        <v>0</v>
      </c>
      <c r="P27" s="35">
        <f t="shared" si="6"/>
        <v>0</v>
      </c>
      <c r="Q27" s="35">
        <f t="shared" si="6"/>
        <v>0</v>
      </c>
      <c r="R27" s="35">
        <f t="shared" si="6"/>
        <v>0</v>
      </c>
      <c r="S27" s="35">
        <f t="shared" si="6"/>
        <v>0</v>
      </c>
      <c r="T27" s="36">
        <f t="shared" si="6"/>
        <v>0</v>
      </c>
      <c r="U27" s="35">
        <f t="shared" si="6"/>
        <v>0</v>
      </c>
      <c r="V27" s="35">
        <f t="shared" si="6"/>
        <v>0</v>
      </c>
      <c r="W27" s="35">
        <f t="shared" si="6"/>
        <v>0</v>
      </c>
      <c r="X27" s="35">
        <f t="shared" si="6"/>
        <v>0</v>
      </c>
      <c r="Y27" s="35">
        <f t="shared" si="6"/>
        <v>0</v>
      </c>
    </row>
    <row r="28">
      <c r="A28" s="38" t="s">
        <v>28</v>
      </c>
    </row>
    <row r="29">
      <c r="A29" s="8" t="s">
        <v>29</v>
      </c>
    </row>
    <row r="30">
      <c r="A30" s="8" t="s">
        <v>30</v>
      </c>
      <c r="H30" s="8"/>
    </row>
    <row r="31">
      <c r="A31" s="18" t="s">
        <v>31</v>
      </c>
      <c r="B31" s="18"/>
      <c r="C31" s="18"/>
      <c r="D31" s="18"/>
      <c r="E31" s="39"/>
      <c r="F31" s="39"/>
      <c r="G31" s="18"/>
      <c r="H31" s="1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4" t="s">
        <v>37</v>
      </c>
      <c r="B32" s="35">
        <f t="shared" ref="B32:Y32" si="7">IFERROR(10*B33*B35/(B34+1)+10*(B35-1)*((B34+1)/(2*B33)), 2*B36*(2*B35-1))</f>
        <v>0</v>
      </c>
      <c r="C32" s="36">
        <f t="shared" si="7"/>
        <v>0</v>
      </c>
      <c r="D32" s="35">
        <f t="shared" si="7"/>
        <v>0</v>
      </c>
      <c r="E32" s="35">
        <f t="shared" si="7"/>
        <v>0</v>
      </c>
      <c r="F32" s="35">
        <f t="shared" si="7"/>
        <v>0</v>
      </c>
      <c r="G32" s="35">
        <f t="shared" si="7"/>
        <v>0</v>
      </c>
      <c r="H32" s="36">
        <f t="shared" si="7"/>
        <v>0</v>
      </c>
      <c r="I32" s="36">
        <f t="shared" si="7"/>
        <v>0</v>
      </c>
      <c r="J32" s="37">
        <f t="shared" si="7"/>
        <v>0</v>
      </c>
      <c r="K32" s="35">
        <f t="shared" si="7"/>
        <v>0</v>
      </c>
      <c r="L32" s="35">
        <f t="shared" si="7"/>
        <v>0</v>
      </c>
      <c r="M32" s="35">
        <f t="shared" si="7"/>
        <v>0</v>
      </c>
      <c r="N32" s="35">
        <f t="shared" si="7"/>
        <v>0</v>
      </c>
      <c r="O32" s="35">
        <f t="shared" si="7"/>
        <v>0</v>
      </c>
      <c r="P32" s="35">
        <f t="shared" si="7"/>
        <v>0</v>
      </c>
      <c r="Q32" s="35">
        <f t="shared" si="7"/>
        <v>0</v>
      </c>
      <c r="R32" s="35">
        <f t="shared" si="7"/>
        <v>0</v>
      </c>
      <c r="S32" s="35">
        <f t="shared" si="7"/>
        <v>0</v>
      </c>
      <c r="T32" s="36">
        <f t="shared" si="7"/>
        <v>0</v>
      </c>
      <c r="U32" s="35">
        <f t="shared" si="7"/>
        <v>0</v>
      </c>
      <c r="V32" s="35">
        <f t="shared" si="7"/>
        <v>0</v>
      </c>
      <c r="W32" s="35">
        <f t="shared" si="7"/>
        <v>0</v>
      </c>
      <c r="X32" s="35">
        <f t="shared" si="7"/>
        <v>0</v>
      </c>
      <c r="Y32" s="35">
        <f t="shared" si="7"/>
        <v>0</v>
      </c>
    </row>
    <row r="33">
      <c r="A33" s="38" t="s">
        <v>28</v>
      </c>
    </row>
    <row r="34">
      <c r="A34" s="8" t="s">
        <v>29</v>
      </c>
    </row>
    <row r="35">
      <c r="A35" s="8" t="s">
        <v>30</v>
      </c>
    </row>
    <row r="36">
      <c r="A36" s="18" t="s">
        <v>31</v>
      </c>
      <c r="B36" s="18"/>
      <c r="C36" s="18"/>
      <c r="D36" s="18"/>
      <c r="E36" s="39"/>
      <c r="F36" s="39"/>
      <c r="G36" s="18"/>
      <c r="H36" s="1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4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8"/>
    </row>
    <row r="40">
      <c r="A40" s="42"/>
    </row>
    <row r="41">
      <c r="A41" s="8"/>
      <c r="B41" s="8"/>
      <c r="C41" s="8"/>
      <c r="D41" s="8"/>
      <c r="G41" s="8"/>
      <c r="H41" s="8"/>
    </row>
    <row r="42">
      <c r="A42" s="3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8"/>
    </row>
    <row r="45">
      <c r="A45" s="42"/>
    </row>
    <row r="46">
      <c r="A46" s="8"/>
      <c r="B46" s="8"/>
      <c r="C46" s="8"/>
      <c r="D46" s="8"/>
      <c r="G46" s="8"/>
      <c r="H46" s="8"/>
    </row>
    <row r="47">
      <c r="A47" s="3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8"/>
    </row>
    <row r="50">
      <c r="A50" s="42"/>
    </row>
    <row r="51">
      <c r="A51" s="8"/>
      <c r="B51" s="8"/>
      <c r="C51" s="8"/>
      <c r="D51" s="8"/>
      <c r="G51" s="8"/>
      <c r="H51" s="8"/>
    </row>
    <row r="52">
      <c r="A52" s="34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8"/>
    </row>
    <row r="55">
      <c r="A55" s="42"/>
    </row>
    <row r="56">
      <c r="A56" s="8"/>
      <c r="B56" s="8"/>
      <c r="C56" s="8"/>
      <c r="D56" s="8"/>
      <c r="G56" s="8"/>
      <c r="H56" s="8"/>
    </row>
    <row r="57">
      <c r="A57" s="34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8"/>
    </row>
    <row r="60">
      <c r="A60" s="42"/>
    </row>
    <row r="61">
      <c r="A61" s="8"/>
      <c r="B61" s="8"/>
      <c r="C61" s="8"/>
      <c r="D61" s="8"/>
      <c r="G61" s="8"/>
      <c r="H61" s="8"/>
    </row>
    <row r="62">
      <c r="A62" s="3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8"/>
    </row>
    <row r="65">
      <c r="A65" s="42"/>
    </row>
    <row r="66">
      <c r="A66" s="8"/>
      <c r="B66" s="8"/>
      <c r="C66" s="8"/>
      <c r="D66" s="8"/>
      <c r="G66" s="8"/>
      <c r="H66" s="8"/>
    </row>
    <row r="67">
      <c r="A67" s="34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8"/>
    </row>
    <row r="70">
      <c r="A70" s="42"/>
    </row>
    <row r="71">
      <c r="A71" s="8"/>
      <c r="B71" s="8"/>
      <c r="C71" s="8"/>
      <c r="D71" s="8"/>
      <c r="G71" s="8"/>
      <c r="H71" s="8"/>
    </row>
    <row r="72">
      <c r="A72" s="3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8"/>
    </row>
    <row r="75">
      <c r="A75" s="42"/>
    </row>
    <row r="76">
      <c r="A76" s="8"/>
      <c r="B76" s="8"/>
      <c r="C76" s="8"/>
      <c r="D76" s="8"/>
      <c r="G76" s="8"/>
      <c r="H76" s="8"/>
    </row>
    <row r="77">
      <c r="A77" s="3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8"/>
    </row>
    <row r="80">
      <c r="A80" s="42"/>
    </row>
    <row r="81">
      <c r="A81" s="8"/>
      <c r="B81" s="8"/>
      <c r="C81" s="8"/>
      <c r="D81" s="8"/>
      <c r="G81" s="8"/>
      <c r="H81" s="8"/>
    </row>
  </sheetData>
  <conditionalFormatting sqref="A2:Y2 A7:Y7 A12:Y12 A17:Y17 A22:Y22 A27:Y27 A32:Y32 A37:Y37 A42:Y42 A47:Y47 A52:Y52 A57:Y57 A63:Y63 A67:Y67 A72:Y72 A75:Y75 A77:Y77">
    <cfRule type="cellIs" dxfId="1" priority="1" operator="lessThan">
      <formula>0</formula>
    </cfRule>
  </conditionalFormatting>
  <conditionalFormatting sqref="A2:Y2 A7:Y7 A12:Y12 A17:Y17 A22:Y22 A27:Y27 A32:Y32 A37:Y37 A42:Y42 A47:Y47 A52:Y52 A57:Y57 A62:Y62 A67:Y67 A72:Y72 A77:Y77">
    <cfRule type="cellIs" dxfId="2" priority="2" operator="greaterThan">
      <formula>0</formula>
    </cfRule>
  </conditionalFormatting>
  <conditionalFormatting sqref="A2:Y2 A7:Y7 A12:Y12 A17:Y17 A22:Y22 A27:Y27 A32:Y32 A37:Y37 A42:Y42 A47:Y47 A52:Y52 A57:Y57 A62:Y63 A67:Y67 A72:Y72 A75:Y75 A77:Y77">
    <cfRule type="cellIs" dxfId="3" priority="3" operator="equal">
      <formula>0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33" t="str">
        <f>'Total Score'!B1</f>
        <v>Llama</v>
      </c>
      <c r="C1" s="33" t="str">
        <f>'Total Score'!C1</f>
        <v>Nic</v>
      </c>
      <c r="D1" s="33" t="str">
        <f>'Total Score'!D1</f>
        <v>Taank</v>
      </c>
      <c r="E1" s="33" t="str">
        <f>'Total Score'!E1</f>
        <v>Elephant</v>
      </c>
      <c r="F1" s="33" t="str">
        <f>'Total Score'!F1</f>
        <v>Jorg</v>
      </c>
      <c r="G1" s="33" t="str">
        <f>'Total Score'!G1</f>
        <v>Deadlock</v>
      </c>
      <c r="H1" s="33" t="str">
        <f>'Total Score'!H1</f>
        <v>Veil</v>
      </c>
      <c r="I1" s="33" t="str">
        <f>'Total Score'!I1</f>
        <v>Arch</v>
      </c>
      <c r="J1" s="33" t="str">
        <f>'Total Score'!J1</f>
        <v>Winter</v>
      </c>
      <c r="K1" s="33" t="str">
        <f>'Total Score'!K1</f>
        <v/>
      </c>
      <c r="L1" s="33" t="str">
        <f>'Total Score'!L1</f>
        <v/>
      </c>
      <c r="M1" s="33" t="str">
        <f>'Total Score'!M1</f>
        <v/>
      </c>
      <c r="N1" s="33" t="str">
        <f>'Total Score'!N1</f>
        <v/>
      </c>
      <c r="O1" s="33" t="str">
        <f>'Total Score'!O1</f>
        <v/>
      </c>
      <c r="P1" s="33" t="str">
        <f>'Total Score'!P1</f>
        <v/>
      </c>
      <c r="Q1" s="33" t="str">
        <f>'Total Score'!Q1</f>
        <v/>
      </c>
      <c r="R1" s="33" t="str">
        <f>'Total Score'!R1</f>
        <v/>
      </c>
      <c r="S1" s="33" t="str">
        <f>'Total Score'!S1</f>
        <v/>
      </c>
      <c r="T1" s="33" t="str">
        <f>'Total Score'!T1</f>
        <v/>
      </c>
      <c r="U1" s="33" t="str">
        <f>'Total Score'!U1</f>
        <v/>
      </c>
      <c r="V1" s="33" t="str">
        <f>'Total Score'!V1</f>
        <v/>
      </c>
      <c r="W1" s="33" t="str">
        <f>'Total Score'!W1</f>
        <v/>
      </c>
      <c r="X1" s="33" t="str">
        <f>'Total Score'!X1</f>
        <v/>
      </c>
      <c r="Y1" s="33" t="str">
        <f>'Total Score'!Y1</f>
        <v/>
      </c>
    </row>
    <row r="2">
      <c r="A2" s="34" t="s">
        <v>27</v>
      </c>
      <c r="B2" s="35">
        <f t="shared" ref="B2:Y2" si="1">IFERROR(10*B3*B5/(B4+1)+10*(B5-1)*((B4+1)/(2*B3)), 2*B6*(2*B5-1))</f>
        <v>0</v>
      </c>
      <c r="C2" s="36">
        <f t="shared" si="1"/>
        <v>0</v>
      </c>
      <c r="D2" s="35">
        <f t="shared" si="1"/>
        <v>0</v>
      </c>
      <c r="E2" s="35">
        <f t="shared" si="1"/>
        <v>0</v>
      </c>
      <c r="F2" s="35">
        <f t="shared" si="1"/>
        <v>0</v>
      </c>
      <c r="G2" s="35">
        <f t="shared" si="1"/>
        <v>0</v>
      </c>
      <c r="H2" s="36">
        <f t="shared" si="1"/>
        <v>0</v>
      </c>
      <c r="I2" s="36">
        <f t="shared" si="1"/>
        <v>0</v>
      </c>
      <c r="J2" s="37">
        <f t="shared" si="1"/>
        <v>0</v>
      </c>
      <c r="K2" s="35">
        <f t="shared" si="1"/>
        <v>0</v>
      </c>
      <c r="L2" s="35">
        <f t="shared" si="1"/>
        <v>0</v>
      </c>
      <c r="M2" s="35">
        <f t="shared" si="1"/>
        <v>0</v>
      </c>
      <c r="N2" s="35">
        <f t="shared" si="1"/>
        <v>0</v>
      </c>
      <c r="O2" s="35">
        <f t="shared" si="1"/>
        <v>0</v>
      </c>
      <c r="P2" s="35">
        <f t="shared" si="1"/>
        <v>0</v>
      </c>
      <c r="Q2" s="35">
        <f t="shared" si="1"/>
        <v>0</v>
      </c>
      <c r="R2" s="35">
        <f t="shared" si="1"/>
        <v>0</v>
      </c>
      <c r="S2" s="35">
        <f t="shared" si="1"/>
        <v>0</v>
      </c>
      <c r="T2" s="36">
        <f t="shared" si="1"/>
        <v>0</v>
      </c>
      <c r="U2" s="35">
        <f t="shared" si="1"/>
        <v>0</v>
      </c>
      <c r="V2" s="35">
        <f t="shared" si="1"/>
        <v>0</v>
      </c>
      <c r="W2" s="35">
        <f t="shared" si="1"/>
        <v>0</v>
      </c>
      <c r="X2" s="35">
        <f t="shared" si="1"/>
        <v>0</v>
      </c>
      <c r="Y2" s="35">
        <f t="shared" si="1"/>
        <v>0</v>
      </c>
    </row>
    <row r="3">
      <c r="A3" s="38" t="s">
        <v>28</v>
      </c>
    </row>
    <row r="4">
      <c r="A4" s="8" t="s">
        <v>29</v>
      </c>
    </row>
    <row r="5">
      <c r="A5" s="8" t="s">
        <v>30</v>
      </c>
    </row>
    <row r="6">
      <c r="A6" s="18" t="s">
        <v>31</v>
      </c>
      <c r="B6" s="18"/>
      <c r="C6" s="18"/>
      <c r="D6" s="18"/>
      <c r="E6" s="39"/>
      <c r="F6" s="39"/>
      <c r="G6" s="18"/>
      <c r="H6" s="1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34" t="s">
        <v>32</v>
      </c>
      <c r="B7" s="35">
        <f t="shared" ref="B7:Y7" si="2">IFERROR(10*B8*B10/(B9+1)+10*(B10-1)*((B9+1)/(2*B8)), 2*B11*(2*B10-1))</f>
        <v>0</v>
      </c>
      <c r="C7" s="36">
        <f t="shared" si="2"/>
        <v>0</v>
      </c>
      <c r="D7" s="35">
        <f t="shared" si="2"/>
        <v>0</v>
      </c>
      <c r="E7" s="35">
        <f t="shared" si="2"/>
        <v>0</v>
      </c>
      <c r="F7" s="35">
        <f t="shared" si="2"/>
        <v>0</v>
      </c>
      <c r="G7" s="35">
        <f t="shared" si="2"/>
        <v>0</v>
      </c>
      <c r="H7" s="36">
        <f t="shared" si="2"/>
        <v>0</v>
      </c>
      <c r="I7" s="36">
        <f t="shared" si="2"/>
        <v>0</v>
      </c>
      <c r="J7" s="37">
        <f t="shared" si="2"/>
        <v>0</v>
      </c>
      <c r="K7" s="35">
        <f t="shared" si="2"/>
        <v>0</v>
      </c>
      <c r="L7" s="35">
        <f t="shared" si="2"/>
        <v>0</v>
      </c>
      <c r="M7" s="35">
        <f t="shared" si="2"/>
        <v>0</v>
      </c>
      <c r="N7" s="35">
        <f t="shared" si="2"/>
        <v>0</v>
      </c>
      <c r="O7" s="35">
        <f t="shared" si="2"/>
        <v>0</v>
      </c>
      <c r="P7" s="35">
        <f t="shared" si="2"/>
        <v>0</v>
      </c>
      <c r="Q7" s="35">
        <f t="shared" si="2"/>
        <v>0</v>
      </c>
      <c r="R7" s="35">
        <f t="shared" si="2"/>
        <v>0</v>
      </c>
      <c r="S7" s="35">
        <f t="shared" si="2"/>
        <v>0</v>
      </c>
      <c r="T7" s="36">
        <f t="shared" si="2"/>
        <v>0</v>
      </c>
      <c r="U7" s="35">
        <f t="shared" si="2"/>
        <v>0</v>
      </c>
      <c r="V7" s="35">
        <f t="shared" si="2"/>
        <v>0</v>
      </c>
      <c r="W7" s="35">
        <f t="shared" si="2"/>
        <v>0</v>
      </c>
      <c r="X7" s="35">
        <f t="shared" si="2"/>
        <v>0</v>
      </c>
      <c r="Y7" s="35">
        <f t="shared" si="2"/>
        <v>0</v>
      </c>
    </row>
    <row r="8">
      <c r="A8" s="38" t="s">
        <v>28</v>
      </c>
    </row>
    <row r="9">
      <c r="A9" s="8" t="s">
        <v>29</v>
      </c>
    </row>
    <row r="10">
      <c r="A10" s="8" t="s">
        <v>30</v>
      </c>
    </row>
    <row r="11">
      <c r="A11" s="18" t="s">
        <v>31</v>
      </c>
      <c r="B11" s="18"/>
      <c r="C11" s="18"/>
      <c r="D11" s="18"/>
      <c r="E11" s="39"/>
      <c r="F11" s="39"/>
      <c r="G11" s="18"/>
      <c r="H11" s="1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34" t="s">
        <v>33</v>
      </c>
      <c r="B12" s="35">
        <f t="shared" ref="B12:Y12" si="3">IFERROR(10*B13*B15/(B14+1)+10*(B15-1)*((B14+1)/(2*B13)), 2*B16*(2*B15-1))</f>
        <v>0</v>
      </c>
      <c r="C12" s="36">
        <f t="shared" si="3"/>
        <v>0</v>
      </c>
      <c r="D12" s="35">
        <f t="shared" si="3"/>
        <v>0</v>
      </c>
      <c r="E12" s="35">
        <f t="shared" si="3"/>
        <v>0</v>
      </c>
      <c r="F12" s="35">
        <f t="shared" si="3"/>
        <v>0</v>
      </c>
      <c r="G12" s="35">
        <f t="shared" si="3"/>
        <v>0</v>
      </c>
      <c r="H12" s="36">
        <f t="shared" si="3"/>
        <v>0</v>
      </c>
      <c r="I12" s="36">
        <f t="shared" si="3"/>
        <v>0</v>
      </c>
      <c r="J12" s="37">
        <f t="shared" si="3"/>
        <v>0</v>
      </c>
      <c r="K12" s="35">
        <f t="shared" si="3"/>
        <v>0</v>
      </c>
      <c r="L12" s="35">
        <f t="shared" si="3"/>
        <v>0</v>
      </c>
      <c r="M12" s="35">
        <f t="shared" si="3"/>
        <v>0</v>
      </c>
      <c r="N12" s="35">
        <f t="shared" si="3"/>
        <v>0</v>
      </c>
      <c r="O12" s="35">
        <f t="shared" si="3"/>
        <v>0</v>
      </c>
      <c r="P12" s="35">
        <f t="shared" si="3"/>
        <v>0</v>
      </c>
      <c r="Q12" s="35">
        <f t="shared" si="3"/>
        <v>0</v>
      </c>
      <c r="R12" s="35">
        <f t="shared" si="3"/>
        <v>0</v>
      </c>
      <c r="S12" s="35">
        <f t="shared" si="3"/>
        <v>0</v>
      </c>
      <c r="T12" s="36">
        <f t="shared" si="3"/>
        <v>0</v>
      </c>
      <c r="U12" s="35">
        <f t="shared" si="3"/>
        <v>0</v>
      </c>
      <c r="V12" s="35">
        <f t="shared" si="3"/>
        <v>0</v>
      </c>
      <c r="W12" s="35">
        <f t="shared" si="3"/>
        <v>0</v>
      </c>
      <c r="X12" s="35">
        <f t="shared" si="3"/>
        <v>0</v>
      </c>
      <c r="Y12" s="35">
        <f t="shared" si="3"/>
        <v>0</v>
      </c>
    </row>
    <row r="13">
      <c r="A13" s="38" t="s">
        <v>28</v>
      </c>
    </row>
    <row r="14">
      <c r="A14" s="8" t="s">
        <v>29</v>
      </c>
    </row>
    <row r="15">
      <c r="A15" s="8" t="s">
        <v>30</v>
      </c>
    </row>
    <row r="16">
      <c r="A16" s="18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34" t="s">
        <v>34</v>
      </c>
      <c r="B17" s="35">
        <f t="shared" ref="B17:Y17" si="4">IFERROR(10*B18*B20/(B19+1)+10*(B20-1)*((B19+1)/(2*B18)), 2*B21*(2*B20-1))</f>
        <v>0</v>
      </c>
      <c r="C17" s="36">
        <f t="shared" si="4"/>
        <v>0</v>
      </c>
      <c r="D17" s="35">
        <f t="shared" si="4"/>
        <v>0</v>
      </c>
      <c r="E17" s="35">
        <f t="shared" si="4"/>
        <v>0</v>
      </c>
      <c r="F17" s="35">
        <f t="shared" si="4"/>
        <v>0</v>
      </c>
      <c r="G17" s="35">
        <f t="shared" si="4"/>
        <v>0</v>
      </c>
      <c r="H17" s="36">
        <f t="shared" si="4"/>
        <v>0</v>
      </c>
      <c r="I17" s="36">
        <f t="shared" si="4"/>
        <v>0</v>
      </c>
      <c r="J17" s="37">
        <f t="shared" si="4"/>
        <v>0</v>
      </c>
      <c r="K17" s="35">
        <f t="shared" si="4"/>
        <v>0</v>
      </c>
      <c r="L17" s="35">
        <f t="shared" si="4"/>
        <v>0</v>
      </c>
      <c r="M17" s="35">
        <f t="shared" si="4"/>
        <v>0</v>
      </c>
      <c r="N17" s="35">
        <f t="shared" si="4"/>
        <v>0</v>
      </c>
      <c r="O17" s="35">
        <f t="shared" si="4"/>
        <v>0</v>
      </c>
      <c r="P17" s="35">
        <f t="shared" si="4"/>
        <v>0</v>
      </c>
      <c r="Q17" s="35">
        <f t="shared" si="4"/>
        <v>0</v>
      </c>
      <c r="R17" s="35">
        <f t="shared" si="4"/>
        <v>0</v>
      </c>
      <c r="S17" s="35">
        <f t="shared" si="4"/>
        <v>0</v>
      </c>
      <c r="T17" s="36">
        <f t="shared" si="4"/>
        <v>0</v>
      </c>
      <c r="U17" s="35">
        <f t="shared" si="4"/>
        <v>0</v>
      </c>
      <c r="V17" s="35">
        <f t="shared" si="4"/>
        <v>0</v>
      </c>
      <c r="W17" s="35">
        <f t="shared" si="4"/>
        <v>0</v>
      </c>
      <c r="X17" s="35">
        <f t="shared" si="4"/>
        <v>0</v>
      </c>
      <c r="Y17" s="35">
        <f t="shared" si="4"/>
        <v>0</v>
      </c>
    </row>
    <row r="18">
      <c r="A18" s="38" t="s">
        <v>28</v>
      </c>
    </row>
    <row r="19">
      <c r="A19" s="8" t="s">
        <v>29</v>
      </c>
    </row>
    <row r="20">
      <c r="A20" s="8" t="s">
        <v>30</v>
      </c>
      <c r="H20" s="8"/>
    </row>
    <row r="21">
      <c r="A21" s="18" t="s">
        <v>31</v>
      </c>
      <c r="B21" s="18"/>
      <c r="C21" s="18"/>
      <c r="D21" s="18"/>
      <c r="E21" s="39"/>
      <c r="F21" s="39"/>
      <c r="G21" s="18"/>
      <c r="H21" s="1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34" t="s">
        <v>35</v>
      </c>
      <c r="B22" s="35">
        <f t="shared" ref="B22:Y22" si="5">IFERROR(10*B23*B25/(B24+1)+10*(B25-1)*((B24+1)/(2*B23)), 2*B26*(2*B25-1))</f>
        <v>0</v>
      </c>
      <c r="C22" s="36">
        <f t="shared" si="5"/>
        <v>0</v>
      </c>
      <c r="D22" s="35">
        <f t="shared" si="5"/>
        <v>0</v>
      </c>
      <c r="E22" s="35">
        <f t="shared" si="5"/>
        <v>0</v>
      </c>
      <c r="F22" s="35">
        <f t="shared" si="5"/>
        <v>0</v>
      </c>
      <c r="G22" s="35">
        <f t="shared" si="5"/>
        <v>0</v>
      </c>
      <c r="H22" s="36">
        <f t="shared" si="5"/>
        <v>0</v>
      </c>
      <c r="I22" s="36">
        <f t="shared" si="5"/>
        <v>0</v>
      </c>
      <c r="J22" s="37">
        <f t="shared" si="5"/>
        <v>0</v>
      </c>
      <c r="K22" s="35">
        <f t="shared" si="5"/>
        <v>0</v>
      </c>
      <c r="L22" s="35">
        <f t="shared" si="5"/>
        <v>0</v>
      </c>
      <c r="M22" s="35">
        <f t="shared" si="5"/>
        <v>0</v>
      </c>
      <c r="N22" s="35">
        <f t="shared" si="5"/>
        <v>0</v>
      </c>
      <c r="O22" s="35">
        <f t="shared" si="5"/>
        <v>0</v>
      </c>
      <c r="P22" s="35">
        <f t="shared" si="5"/>
        <v>0</v>
      </c>
      <c r="Q22" s="35">
        <f t="shared" si="5"/>
        <v>0</v>
      </c>
      <c r="R22" s="35">
        <f t="shared" si="5"/>
        <v>0</v>
      </c>
      <c r="S22" s="35">
        <f t="shared" si="5"/>
        <v>0</v>
      </c>
      <c r="T22" s="36">
        <f t="shared" si="5"/>
        <v>0</v>
      </c>
      <c r="U22" s="35">
        <f t="shared" si="5"/>
        <v>0</v>
      </c>
      <c r="V22" s="35">
        <f t="shared" si="5"/>
        <v>0</v>
      </c>
      <c r="W22" s="35">
        <f t="shared" si="5"/>
        <v>0</v>
      </c>
      <c r="X22" s="35">
        <f t="shared" si="5"/>
        <v>0</v>
      </c>
      <c r="Y22" s="35">
        <f t="shared" si="5"/>
        <v>0</v>
      </c>
    </row>
    <row r="23">
      <c r="A23" s="38" t="s">
        <v>28</v>
      </c>
    </row>
    <row r="24">
      <c r="A24" s="8" t="s">
        <v>29</v>
      </c>
    </row>
    <row r="25">
      <c r="A25" s="8" t="s">
        <v>30</v>
      </c>
      <c r="H25" s="8"/>
    </row>
    <row r="26">
      <c r="A26" s="18" t="s">
        <v>31</v>
      </c>
      <c r="B26" s="18"/>
      <c r="C26" s="18"/>
      <c r="D26" s="18"/>
      <c r="E26" s="39"/>
      <c r="F26" s="39"/>
      <c r="G26" s="18"/>
      <c r="H26" s="1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4" t="s">
        <v>36</v>
      </c>
      <c r="B27" s="35">
        <f t="shared" ref="B27:Y27" si="6">IFERROR(10*B28*B30/(B29+1)+10*(B30-1)*((B29+1)/(2*B28)), 2*B31*(2*B30-1))</f>
        <v>0</v>
      </c>
      <c r="C27" s="36">
        <f t="shared" si="6"/>
        <v>0</v>
      </c>
      <c r="D27" s="35">
        <f t="shared" si="6"/>
        <v>0</v>
      </c>
      <c r="E27" s="35">
        <f t="shared" si="6"/>
        <v>0</v>
      </c>
      <c r="F27" s="35">
        <f t="shared" si="6"/>
        <v>0</v>
      </c>
      <c r="G27" s="35">
        <f t="shared" si="6"/>
        <v>0</v>
      </c>
      <c r="H27" s="36">
        <f t="shared" si="6"/>
        <v>0</v>
      </c>
      <c r="I27" s="36">
        <f t="shared" si="6"/>
        <v>0</v>
      </c>
      <c r="J27" s="37">
        <f t="shared" si="6"/>
        <v>0</v>
      </c>
      <c r="K27" s="35">
        <f t="shared" si="6"/>
        <v>0</v>
      </c>
      <c r="L27" s="35">
        <f t="shared" si="6"/>
        <v>0</v>
      </c>
      <c r="M27" s="35">
        <f t="shared" si="6"/>
        <v>0</v>
      </c>
      <c r="N27" s="35">
        <f t="shared" si="6"/>
        <v>0</v>
      </c>
      <c r="O27" s="35">
        <f t="shared" si="6"/>
        <v>0</v>
      </c>
      <c r="P27" s="35">
        <f t="shared" si="6"/>
        <v>0</v>
      </c>
      <c r="Q27" s="35">
        <f t="shared" si="6"/>
        <v>0</v>
      </c>
      <c r="R27" s="35">
        <f t="shared" si="6"/>
        <v>0</v>
      </c>
      <c r="S27" s="35">
        <f t="shared" si="6"/>
        <v>0</v>
      </c>
      <c r="T27" s="36">
        <f t="shared" si="6"/>
        <v>0</v>
      </c>
      <c r="U27" s="35">
        <f t="shared" si="6"/>
        <v>0</v>
      </c>
      <c r="V27" s="35">
        <f t="shared" si="6"/>
        <v>0</v>
      </c>
      <c r="W27" s="35">
        <f t="shared" si="6"/>
        <v>0</v>
      </c>
      <c r="X27" s="35">
        <f t="shared" si="6"/>
        <v>0</v>
      </c>
      <c r="Y27" s="35">
        <f t="shared" si="6"/>
        <v>0</v>
      </c>
    </row>
    <row r="28">
      <c r="A28" s="38" t="s">
        <v>28</v>
      </c>
    </row>
    <row r="29">
      <c r="A29" s="8" t="s">
        <v>29</v>
      </c>
    </row>
    <row r="30">
      <c r="A30" s="8" t="s">
        <v>30</v>
      </c>
      <c r="H30" s="8"/>
    </row>
    <row r="31">
      <c r="A31" s="18" t="s">
        <v>31</v>
      </c>
      <c r="B31" s="18"/>
      <c r="C31" s="18"/>
      <c r="D31" s="18"/>
      <c r="E31" s="39"/>
      <c r="F31" s="39"/>
      <c r="G31" s="18"/>
      <c r="H31" s="1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4" t="s">
        <v>37</v>
      </c>
      <c r="B32" s="35">
        <f t="shared" ref="B32:Y32" si="7">IFERROR(10*B33*B35/(B34+1)+10*(B35-1)*((B34+1)/(2*B33)), 2*B36*(2*B35-1))</f>
        <v>0</v>
      </c>
      <c r="C32" s="36">
        <f t="shared" si="7"/>
        <v>0</v>
      </c>
      <c r="D32" s="35">
        <f t="shared" si="7"/>
        <v>0</v>
      </c>
      <c r="E32" s="35">
        <f t="shared" si="7"/>
        <v>0</v>
      </c>
      <c r="F32" s="35">
        <f t="shared" si="7"/>
        <v>0</v>
      </c>
      <c r="G32" s="35">
        <f t="shared" si="7"/>
        <v>0</v>
      </c>
      <c r="H32" s="36">
        <f t="shared" si="7"/>
        <v>0</v>
      </c>
      <c r="I32" s="36">
        <f t="shared" si="7"/>
        <v>0</v>
      </c>
      <c r="J32" s="37">
        <f t="shared" si="7"/>
        <v>0</v>
      </c>
      <c r="K32" s="35">
        <f t="shared" si="7"/>
        <v>0</v>
      </c>
      <c r="L32" s="35">
        <f t="shared" si="7"/>
        <v>0</v>
      </c>
      <c r="M32" s="35">
        <f t="shared" si="7"/>
        <v>0</v>
      </c>
      <c r="N32" s="35">
        <f t="shared" si="7"/>
        <v>0</v>
      </c>
      <c r="O32" s="35">
        <f t="shared" si="7"/>
        <v>0</v>
      </c>
      <c r="P32" s="35">
        <f t="shared" si="7"/>
        <v>0</v>
      </c>
      <c r="Q32" s="35">
        <f t="shared" si="7"/>
        <v>0</v>
      </c>
      <c r="R32" s="35">
        <f t="shared" si="7"/>
        <v>0</v>
      </c>
      <c r="S32" s="35">
        <f t="shared" si="7"/>
        <v>0</v>
      </c>
      <c r="T32" s="36">
        <f t="shared" si="7"/>
        <v>0</v>
      </c>
      <c r="U32" s="35">
        <f t="shared" si="7"/>
        <v>0</v>
      </c>
      <c r="V32" s="35">
        <f t="shared" si="7"/>
        <v>0</v>
      </c>
      <c r="W32" s="35">
        <f t="shared" si="7"/>
        <v>0</v>
      </c>
      <c r="X32" s="35">
        <f t="shared" si="7"/>
        <v>0</v>
      </c>
      <c r="Y32" s="35">
        <f t="shared" si="7"/>
        <v>0</v>
      </c>
    </row>
    <row r="33">
      <c r="A33" s="38" t="s">
        <v>28</v>
      </c>
    </row>
    <row r="34">
      <c r="A34" s="8" t="s">
        <v>29</v>
      </c>
    </row>
    <row r="35">
      <c r="A35" s="8" t="s">
        <v>30</v>
      </c>
      <c r="H35" s="8"/>
    </row>
    <row r="36">
      <c r="A36" s="18" t="s">
        <v>31</v>
      </c>
      <c r="B36" s="18"/>
      <c r="C36" s="18"/>
      <c r="D36" s="18"/>
      <c r="E36" s="39"/>
      <c r="F36" s="39"/>
      <c r="G36" s="18"/>
      <c r="H36" s="1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4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8"/>
    </row>
    <row r="40">
      <c r="A40" s="42"/>
    </row>
    <row r="41">
      <c r="A41" s="8"/>
      <c r="B41" s="8"/>
      <c r="C41" s="8"/>
      <c r="D41" s="8"/>
      <c r="G41" s="8"/>
      <c r="H41" s="8"/>
    </row>
    <row r="42">
      <c r="A42" s="3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8"/>
    </row>
    <row r="45">
      <c r="A45" s="42"/>
    </row>
    <row r="46">
      <c r="A46" s="8"/>
      <c r="B46" s="8"/>
      <c r="C46" s="8"/>
      <c r="D46" s="8"/>
      <c r="G46" s="8"/>
      <c r="H46" s="8"/>
    </row>
    <row r="47">
      <c r="A47" s="3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8"/>
    </row>
    <row r="50">
      <c r="A50" s="42"/>
    </row>
    <row r="51">
      <c r="A51" s="8"/>
      <c r="B51" s="8"/>
      <c r="C51" s="8"/>
      <c r="D51" s="8"/>
      <c r="G51" s="8"/>
      <c r="H51" s="8"/>
    </row>
    <row r="52">
      <c r="A52" s="34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8"/>
    </row>
    <row r="55">
      <c r="A55" s="42"/>
    </row>
    <row r="56">
      <c r="A56" s="8"/>
      <c r="B56" s="8"/>
      <c r="C56" s="8"/>
      <c r="D56" s="8"/>
      <c r="G56" s="8"/>
      <c r="H56" s="8"/>
    </row>
    <row r="57">
      <c r="A57" s="34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8"/>
    </row>
    <row r="60">
      <c r="A60" s="42"/>
    </row>
    <row r="61">
      <c r="A61" s="8"/>
      <c r="B61" s="8"/>
      <c r="C61" s="8"/>
      <c r="D61" s="8"/>
      <c r="G61" s="8"/>
      <c r="H61" s="8"/>
    </row>
    <row r="62">
      <c r="A62" s="3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8"/>
    </row>
    <row r="65">
      <c r="A65" s="42"/>
    </row>
    <row r="66">
      <c r="A66" s="8"/>
      <c r="B66" s="8"/>
      <c r="C66" s="8"/>
      <c r="D66" s="8"/>
      <c r="G66" s="8"/>
      <c r="H66" s="8"/>
    </row>
    <row r="67">
      <c r="A67" s="34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8"/>
    </row>
    <row r="70">
      <c r="A70" s="42"/>
    </row>
    <row r="71">
      <c r="A71" s="8"/>
      <c r="B71" s="8"/>
      <c r="C71" s="8"/>
      <c r="D71" s="8"/>
      <c r="G71" s="8"/>
      <c r="H71" s="8"/>
    </row>
    <row r="72">
      <c r="A72" s="3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8"/>
    </row>
    <row r="75">
      <c r="A75" s="42"/>
    </row>
    <row r="76">
      <c r="A76" s="8"/>
      <c r="B76" s="8"/>
      <c r="C76" s="8"/>
      <c r="D76" s="8"/>
      <c r="G76" s="8"/>
      <c r="H76" s="8"/>
    </row>
    <row r="77">
      <c r="A77" s="3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8"/>
    </row>
    <row r="80">
      <c r="A80" s="42"/>
    </row>
    <row r="81">
      <c r="A81" s="8"/>
      <c r="B81" s="8"/>
      <c r="C81" s="8"/>
      <c r="D81" s="8"/>
      <c r="G81" s="8"/>
      <c r="H81" s="8"/>
    </row>
  </sheetData>
  <conditionalFormatting sqref="A2:Y2 A7:Y7 A12:Y12 A17:Y17 A22:Y22 A27:Y27 A32:Y32 A37:Y37 A42:Y42 A47:Y47 A52:Y52 A57:Y57 A63:Y63 A67:Y67 A72:Y72 A75:Y75 A77:Y77">
    <cfRule type="cellIs" dxfId="1" priority="1" operator="lessThan">
      <formula>0</formula>
    </cfRule>
  </conditionalFormatting>
  <conditionalFormatting sqref="A2:Y2 A7:Y7 A12:Y12 A17:Y17 A22:Y22 A27:Y27 A32:Y32 A37:Y37 A42:Y42 A47:Y47 A52:Y52 A57:Y57 A62:Y62 A67:Y67 A72:Y72 A77:Y77">
    <cfRule type="cellIs" dxfId="2" priority="2" operator="greaterThan">
      <formula>0</formula>
    </cfRule>
  </conditionalFormatting>
  <conditionalFormatting sqref="A2:Y2 A7:Y7 A12:Y12 A17:Y17 A22:Y22 A27:Y27 A32:Y32 A37:Y37 A42:Y42 A47:Y47 A52:Y52 A57:Y57 A62:Y63 A67:Y67 A72:Y72 A75:Y75 A77:Y77">
    <cfRule type="cellIs" dxfId="3" priority="3" operator="equal">
      <formula>0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33" t="str">
        <f>'Total Score'!B1</f>
        <v>Llama</v>
      </c>
      <c r="C1" s="33" t="str">
        <f>'Total Score'!C1</f>
        <v>Nic</v>
      </c>
      <c r="D1" s="33" t="str">
        <f>'Total Score'!D1</f>
        <v>Taank</v>
      </c>
      <c r="E1" s="33" t="str">
        <f>'Total Score'!E1</f>
        <v>Elephant</v>
      </c>
      <c r="F1" s="33" t="str">
        <f>'Total Score'!F1</f>
        <v>Jorg</v>
      </c>
      <c r="G1" s="33" t="str">
        <f>'Total Score'!G1</f>
        <v>Deadlock</v>
      </c>
      <c r="H1" s="33" t="str">
        <f>'Total Score'!H1</f>
        <v>Veil</v>
      </c>
      <c r="I1" s="33" t="str">
        <f>'Total Score'!I1</f>
        <v>Arch</v>
      </c>
      <c r="J1" s="33" t="str">
        <f>'Total Score'!J1</f>
        <v>Winter</v>
      </c>
      <c r="K1" s="33" t="str">
        <f>'Total Score'!K1</f>
        <v/>
      </c>
      <c r="L1" s="33" t="str">
        <f>'Total Score'!L1</f>
        <v/>
      </c>
      <c r="M1" s="33" t="str">
        <f>'Total Score'!M1</f>
        <v/>
      </c>
      <c r="N1" s="33" t="str">
        <f>'Total Score'!N1</f>
        <v/>
      </c>
      <c r="O1" s="33" t="str">
        <f>'Total Score'!O1</f>
        <v/>
      </c>
      <c r="P1" s="33" t="str">
        <f>'Total Score'!P1</f>
        <v/>
      </c>
      <c r="Q1" s="33" t="str">
        <f>'Total Score'!Q1</f>
        <v/>
      </c>
      <c r="R1" s="33" t="str">
        <f>'Total Score'!R1</f>
        <v/>
      </c>
      <c r="S1" s="33" t="str">
        <f>'Total Score'!S1</f>
        <v/>
      </c>
      <c r="T1" s="33" t="str">
        <f>'Total Score'!T1</f>
        <v/>
      </c>
      <c r="U1" s="33" t="str">
        <f>'Total Score'!U1</f>
        <v/>
      </c>
      <c r="V1" s="33" t="str">
        <f>'Total Score'!V1</f>
        <v/>
      </c>
      <c r="W1" s="33" t="str">
        <f>'Total Score'!W1</f>
        <v/>
      </c>
      <c r="X1" s="33" t="str">
        <f>'Total Score'!X1</f>
        <v/>
      </c>
      <c r="Y1" s="33" t="str">
        <f>'Total Score'!Y1</f>
        <v/>
      </c>
    </row>
    <row r="2">
      <c r="A2" s="34" t="s">
        <v>27</v>
      </c>
      <c r="B2" s="35">
        <f t="shared" ref="B2:Y2" si="1">IFERROR(10*B3*B5/(B4+1)+10*(B5-1)*((B4+1)/(2*B3)), 2*B6*(2*B5-1))</f>
        <v>0</v>
      </c>
      <c r="C2" s="36">
        <f t="shared" si="1"/>
        <v>0</v>
      </c>
      <c r="D2" s="35">
        <f t="shared" si="1"/>
        <v>0</v>
      </c>
      <c r="E2" s="35">
        <f t="shared" si="1"/>
        <v>0</v>
      </c>
      <c r="F2" s="35">
        <f t="shared" si="1"/>
        <v>0</v>
      </c>
      <c r="G2" s="35">
        <f t="shared" si="1"/>
        <v>0</v>
      </c>
      <c r="H2" s="36">
        <f t="shared" si="1"/>
        <v>0</v>
      </c>
      <c r="I2" s="36">
        <f t="shared" si="1"/>
        <v>0</v>
      </c>
      <c r="J2" s="37">
        <f t="shared" si="1"/>
        <v>0</v>
      </c>
      <c r="K2" s="35">
        <f t="shared" si="1"/>
        <v>0</v>
      </c>
      <c r="L2" s="35">
        <f t="shared" si="1"/>
        <v>0</v>
      </c>
      <c r="M2" s="35">
        <f t="shared" si="1"/>
        <v>0</v>
      </c>
      <c r="N2" s="35">
        <f t="shared" si="1"/>
        <v>0</v>
      </c>
      <c r="O2" s="35">
        <f t="shared" si="1"/>
        <v>0</v>
      </c>
      <c r="P2" s="35">
        <f t="shared" si="1"/>
        <v>0</v>
      </c>
      <c r="Q2" s="35">
        <f t="shared" si="1"/>
        <v>0</v>
      </c>
      <c r="R2" s="35">
        <f t="shared" si="1"/>
        <v>0</v>
      </c>
      <c r="S2" s="35">
        <f t="shared" si="1"/>
        <v>0</v>
      </c>
      <c r="T2" s="36">
        <f t="shared" si="1"/>
        <v>0</v>
      </c>
      <c r="U2" s="35">
        <f t="shared" si="1"/>
        <v>0</v>
      </c>
      <c r="V2" s="35">
        <f t="shared" si="1"/>
        <v>0</v>
      </c>
      <c r="W2" s="35">
        <f t="shared" si="1"/>
        <v>0</v>
      </c>
      <c r="X2" s="35">
        <f t="shared" si="1"/>
        <v>0</v>
      </c>
      <c r="Y2" s="35">
        <f t="shared" si="1"/>
        <v>0</v>
      </c>
    </row>
    <row r="3">
      <c r="A3" s="38" t="s">
        <v>28</v>
      </c>
    </row>
    <row r="4">
      <c r="A4" s="8" t="s">
        <v>29</v>
      </c>
    </row>
    <row r="5">
      <c r="A5" s="8" t="s">
        <v>30</v>
      </c>
      <c r="H5" s="8"/>
    </row>
    <row r="6">
      <c r="A6" s="18" t="s">
        <v>31</v>
      </c>
      <c r="B6" s="18"/>
      <c r="C6" s="18"/>
      <c r="D6" s="18"/>
      <c r="E6" s="39"/>
      <c r="F6" s="39"/>
      <c r="G6" s="18"/>
      <c r="H6" s="1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34" t="s">
        <v>32</v>
      </c>
      <c r="B7" s="35">
        <f t="shared" ref="B7:Y7" si="2">IFERROR(10*B8*B10/(B9+1)+10*(B10-1)*((B9+1)/(2*B8)), 2*B11*(2*B10-1))</f>
        <v>0</v>
      </c>
      <c r="C7" s="36">
        <f t="shared" si="2"/>
        <v>0</v>
      </c>
      <c r="D7" s="35">
        <f t="shared" si="2"/>
        <v>0</v>
      </c>
      <c r="E7" s="35">
        <f t="shared" si="2"/>
        <v>0</v>
      </c>
      <c r="F7" s="35">
        <f t="shared" si="2"/>
        <v>0</v>
      </c>
      <c r="G7" s="35">
        <f t="shared" si="2"/>
        <v>0</v>
      </c>
      <c r="H7" s="36">
        <f t="shared" si="2"/>
        <v>0</v>
      </c>
      <c r="I7" s="36">
        <f t="shared" si="2"/>
        <v>0</v>
      </c>
      <c r="J7" s="37">
        <f t="shared" si="2"/>
        <v>0</v>
      </c>
      <c r="K7" s="35">
        <f t="shared" si="2"/>
        <v>0</v>
      </c>
      <c r="L7" s="35">
        <f t="shared" si="2"/>
        <v>0</v>
      </c>
      <c r="M7" s="35">
        <f t="shared" si="2"/>
        <v>0</v>
      </c>
      <c r="N7" s="35">
        <f t="shared" si="2"/>
        <v>0</v>
      </c>
      <c r="O7" s="35">
        <f t="shared" si="2"/>
        <v>0</v>
      </c>
      <c r="P7" s="35">
        <f t="shared" si="2"/>
        <v>0</v>
      </c>
      <c r="Q7" s="35">
        <f t="shared" si="2"/>
        <v>0</v>
      </c>
      <c r="R7" s="35">
        <f t="shared" si="2"/>
        <v>0</v>
      </c>
      <c r="S7" s="35">
        <f t="shared" si="2"/>
        <v>0</v>
      </c>
      <c r="T7" s="36">
        <f t="shared" si="2"/>
        <v>0</v>
      </c>
      <c r="U7" s="35">
        <f t="shared" si="2"/>
        <v>0</v>
      </c>
      <c r="V7" s="35">
        <f t="shared" si="2"/>
        <v>0</v>
      </c>
      <c r="W7" s="35">
        <f t="shared" si="2"/>
        <v>0</v>
      </c>
      <c r="X7" s="35">
        <f t="shared" si="2"/>
        <v>0</v>
      </c>
      <c r="Y7" s="35">
        <f t="shared" si="2"/>
        <v>0</v>
      </c>
    </row>
    <row r="8">
      <c r="A8" s="38" t="s">
        <v>28</v>
      </c>
    </row>
    <row r="9">
      <c r="A9" s="8" t="s">
        <v>29</v>
      </c>
    </row>
    <row r="10">
      <c r="A10" s="8" t="s">
        <v>30</v>
      </c>
    </row>
    <row r="11">
      <c r="A11" s="18" t="s">
        <v>31</v>
      </c>
      <c r="B11" s="18"/>
      <c r="C11" s="18"/>
      <c r="D11" s="18"/>
      <c r="E11" s="39"/>
      <c r="F11" s="39"/>
      <c r="G11" s="18"/>
      <c r="H11" s="1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34" t="s">
        <v>33</v>
      </c>
      <c r="B12" s="35">
        <f t="shared" ref="B12:Y12" si="3">IFERROR(10*B13*B15/(B14+1)+10*(B15-1)*((B14+1)/(2*B13)), 2*B16*(2*B15-1))</f>
        <v>0</v>
      </c>
      <c r="C12" s="36">
        <f t="shared" si="3"/>
        <v>0</v>
      </c>
      <c r="D12" s="35">
        <f t="shared" si="3"/>
        <v>0</v>
      </c>
      <c r="E12" s="35">
        <f t="shared" si="3"/>
        <v>0</v>
      </c>
      <c r="F12" s="35">
        <f t="shared" si="3"/>
        <v>0</v>
      </c>
      <c r="G12" s="35">
        <f t="shared" si="3"/>
        <v>0</v>
      </c>
      <c r="H12" s="36">
        <f t="shared" si="3"/>
        <v>0</v>
      </c>
      <c r="I12" s="36">
        <f t="shared" si="3"/>
        <v>0</v>
      </c>
      <c r="J12" s="37">
        <f t="shared" si="3"/>
        <v>0</v>
      </c>
      <c r="K12" s="35">
        <f t="shared" si="3"/>
        <v>0</v>
      </c>
      <c r="L12" s="35">
        <f t="shared" si="3"/>
        <v>0</v>
      </c>
      <c r="M12" s="35">
        <f t="shared" si="3"/>
        <v>0</v>
      </c>
      <c r="N12" s="35">
        <f t="shared" si="3"/>
        <v>0</v>
      </c>
      <c r="O12" s="35">
        <f t="shared" si="3"/>
        <v>0</v>
      </c>
      <c r="P12" s="35">
        <f t="shared" si="3"/>
        <v>0</v>
      </c>
      <c r="Q12" s="35">
        <f t="shared" si="3"/>
        <v>0</v>
      </c>
      <c r="R12" s="35">
        <f t="shared" si="3"/>
        <v>0</v>
      </c>
      <c r="S12" s="35">
        <f t="shared" si="3"/>
        <v>0</v>
      </c>
      <c r="T12" s="36">
        <f t="shared" si="3"/>
        <v>0</v>
      </c>
      <c r="U12" s="35">
        <f t="shared" si="3"/>
        <v>0</v>
      </c>
      <c r="V12" s="35">
        <f t="shared" si="3"/>
        <v>0</v>
      </c>
      <c r="W12" s="35">
        <f t="shared" si="3"/>
        <v>0</v>
      </c>
      <c r="X12" s="35">
        <f t="shared" si="3"/>
        <v>0</v>
      </c>
      <c r="Y12" s="35">
        <f t="shared" si="3"/>
        <v>0</v>
      </c>
    </row>
    <row r="13">
      <c r="A13" s="38" t="s">
        <v>28</v>
      </c>
    </row>
    <row r="14">
      <c r="A14" s="8" t="s">
        <v>29</v>
      </c>
    </row>
    <row r="15">
      <c r="A15" s="8" t="s">
        <v>30</v>
      </c>
    </row>
    <row r="16">
      <c r="A16" s="18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34" t="s">
        <v>34</v>
      </c>
      <c r="B17" s="35">
        <f t="shared" ref="B17:Y17" si="4">IFERROR(10*B18*B20/(B19+1)+10*(B20-1)*((B19+1)/(2*B18)), 2*B21*(2*B20-1))</f>
        <v>0</v>
      </c>
      <c r="C17" s="36">
        <f t="shared" si="4"/>
        <v>0</v>
      </c>
      <c r="D17" s="35">
        <f t="shared" si="4"/>
        <v>0</v>
      </c>
      <c r="E17" s="35">
        <f t="shared" si="4"/>
        <v>0</v>
      </c>
      <c r="F17" s="35">
        <f t="shared" si="4"/>
        <v>0</v>
      </c>
      <c r="G17" s="35">
        <f t="shared" si="4"/>
        <v>0</v>
      </c>
      <c r="H17" s="36">
        <f t="shared" si="4"/>
        <v>0</v>
      </c>
      <c r="I17" s="36">
        <f t="shared" si="4"/>
        <v>0</v>
      </c>
      <c r="J17" s="37">
        <f t="shared" si="4"/>
        <v>0</v>
      </c>
      <c r="K17" s="35">
        <f t="shared" si="4"/>
        <v>0</v>
      </c>
      <c r="L17" s="35">
        <f t="shared" si="4"/>
        <v>0</v>
      </c>
      <c r="M17" s="35">
        <f t="shared" si="4"/>
        <v>0</v>
      </c>
      <c r="N17" s="35">
        <f t="shared" si="4"/>
        <v>0</v>
      </c>
      <c r="O17" s="35">
        <f t="shared" si="4"/>
        <v>0</v>
      </c>
      <c r="P17" s="35">
        <f t="shared" si="4"/>
        <v>0</v>
      </c>
      <c r="Q17" s="35">
        <f t="shared" si="4"/>
        <v>0</v>
      </c>
      <c r="R17" s="35">
        <f t="shared" si="4"/>
        <v>0</v>
      </c>
      <c r="S17" s="35">
        <f t="shared" si="4"/>
        <v>0</v>
      </c>
      <c r="T17" s="36">
        <f t="shared" si="4"/>
        <v>0</v>
      </c>
      <c r="U17" s="35">
        <f t="shared" si="4"/>
        <v>0</v>
      </c>
      <c r="V17" s="35">
        <f t="shared" si="4"/>
        <v>0</v>
      </c>
      <c r="W17" s="35">
        <f t="shared" si="4"/>
        <v>0</v>
      </c>
      <c r="X17" s="35">
        <f t="shared" si="4"/>
        <v>0</v>
      </c>
      <c r="Y17" s="35">
        <f t="shared" si="4"/>
        <v>0</v>
      </c>
    </row>
    <row r="18">
      <c r="A18" s="38" t="s">
        <v>28</v>
      </c>
    </row>
    <row r="19">
      <c r="A19" s="8" t="s">
        <v>29</v>
      </c>
    </row>
    <row r="20">
      <c r="A20" s="8" t="s">
        <v>30</v>
      </c>
      <c r="H20" s="8"/>
    </row>
    <row r="21">
      <c r="A21" s="18" t="s">
        <v>31</v>
      </c>
      <c r="B21" s="18"/>
      <c r="C21" s="18"/>
      <c r="D21" s="18"/>
      <c r="E21" s="39"/>
      <c r="F21" s="39"/>
      <c r="G21" s="18"/>
      <c r="H21" s="1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34" t="s">
        <v>35</v>
      </c>
      <c r="B22" s="35">
        <f t="shared" ref="B22:Y22" si="5">IFERROR(10*B23*B25/(B24+1)+10*(B25-1)*((B24+1)/(2*B23)), 2*B26*(2*B25-1))</f>
        <v>0</v>
      </c>
      <c r="C22" s="36">
        <f t="shared" si="5"/>
        <v>0</v>
      </c>
      <c r="D22" s="35">
        <f t="shared" si="5"/>
        <v>0</v>
      </c>
      <c r="E22" s="35">
        <f t="shared" si="5"/>
        <v>0</v>
      </c>
      <c r="F22" s="35">
        <f t="shared" si="5"/>
        <v>0</v>
      </c>
      <c r="G22" s="35">
        <f t="shared" si="5"/>
        <v>0</v>
      </c>
      <c r="H22" s="36">
        <f t="shared" si="5"/>
        <v>0</v>
      </c>
      <c r="I22" s="36">
        <f t="shared" si="5"/>
        <v>0</v>
      </c>
      <c r="J22" s="37">
        <f t="shared" si="5"/>
        <v>0</v>
      </c>
      <c r="K22" s="35">
        <f t="shared" si="5"/>
        <v>0</v>
      </c>
      <c r="L22" s="35">
        <f t="shared" si="5"/>
        <v>0</v>
      </c>
      <c r="M22" s="35">
        <f t="shared" si="5"/>
        <v>0</v>
      </c>
      <c r="N22" s="35">
        <f t="shared" si="5"/>
        <v>0</v>
      </c>
      <c r="O22" s="35">
        <f t="shared" si="5"/>
        <v>0</v>
      </c>
      <c r="P22" s="35">
        <f t="shared" si="5"/>
        <v>0</v>
      </c>
      <c r="Q22" s="35">
        <f t="shared" si="5"/>
        <v>0</v>
      </c>
      <c r="R22" s="35">
        <f t="shared" si="5"/>
        <v>0</v>
      </c>
      <c r="S22" s="35">
        <f t="shared" si="5"/>
        <v>0</v>
      </c>
      <c r="T22" s="36">
        <f t="shared" si="5"/>
        <v>0</v>
      </c>
      <c r="U22" s="35">
        <f t="shared" si="5"/>
        <v>0</v>
      </c>
      <c r="V22" s="35">
        <f t="shared" si="5"/>
        <v>0</v>
      </c>
      <c r="W22" s="35">
        <f t="shared" si="5"/>
        <v>0</v>
      </c>
      <c r="X22" s="35">
        <f t="shared" si="5"/>
        <v>0</v>
      </c>
      <c r="Y22" s="35">
        <f t="shared" si="5"/>
        <v>0</v>
      </c>
    </row>
    <row r="23">
      <c r="A23" s="38" t="s">
        <v>28</v>
      </c>
    </row>
    <row r="24">
      <c r="A24" s="8" t="s">
        <v>29</v>
      </c>
    </row>
    <row r="25">
      <c r="A25" s="8" t="s">
        <v>30</v>
      </c>
      <c r="H25" s="8"/>
    </row>
    <row r="26">
      <c r="A26" s="18" t="s">
        <v>31</v>
      </c>
      <c r="B26" s="18"/>
      <c r="C26" s="18"/>
      <c r="D26" s="18"/>
      <c r="E26" s="39"/>
      <c r="F26" s="39"/>
      <c r="G26" s="18"/>
      <c r="H26" s="1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4" t="s">
        <v>36</v>
      </c>
      <c r="B27" s="35">
        <f t="shared" ref="B27:Y27" si="6">IFERROR(10*B28*B30/(B29+1)+10*(B30-1)*((B29+1)/(2*B28)), 2*B31*(2*B30-1))</f>
        <v>0</v>
      </c>
      <c r="C27" s="36">
        <f t="shared" si="6"/>
        <v>0</v>
      </c>
      <c r="D27" s="35">
        <f t="shared" si="6"/>
        <v>0</v>
      </c>
      <c r="E27" s="35">
        <f t="shared" si="6"/>
        <v>0</v>
      </c>
      <c r="F27" s="35">
        <f t="shared" si="6"/>
        <v>0</v>
      </c>
      <c r="G27" s="35">
        <f t="shared" si="6"/>
        <v>0</v>
      </c>
      <c r="H27" s="36">
        <f t="shared" si="6"/>
        <v>0</v>
      </c>
      <c r="I27" s="36">
        <f t="shared" si="6"/>
        <v>0</v>
      </c>
      <c r="J27" s="37">
        <f t="shared" si="6"/>
        <v>0</v>
      </c>
      <c r="K27" s="35">
        <f t="shared" si="6"/>
        <v>0</v>
      </c>
      <c r="L27" s="35">
        <f t="shared" si="6"/>
        <v>0</v>
      </c>
      <c r="M27" s="35">
        <f t="shared" si="6"/>
        <v>0</v>
      </c>
      <c r="N27" s="35">
        <f t="shared" si="6"/>
        <v>0</v>
      </c>
      <c r="O27" s="35">
        <f t="shared" si="6"/>
        <v>0</v>
      </c>
      <c r="P27" s="35">
        <f t="shared" si="6"/>
        <v>0</v>
      </c>
      <c r="Q27" s="35">
        <f t="shared" si="6"/>
        <v>0</v>
      </c>
      <c r="R27" s="35">
        <f t="shared" si="6"/>
        <v>0</v>
      </c>
      <c r="S27" s="35">
        <f t="shared" si="6"/>
        <v>0</v>
      </c>
      <c r="T27" s="36">
        <f t="shared" si="6"/>
        <v>0</v>
      </c>
      <c r="U27" s="35">
        <f t="shared" si="6"/>
        <v>0</v>
      </c>
      <c r="V27" s="35">
        <f t="shared" si="6"/>
        <v>0</v>
      </c>
      <c r="W27" s="35">
        <f t="shared" si="6"/>
        <v>0</v>
      </c>
      <c r="X27" s="35">
        <f t="shared" si="6"/>
        <v>0</v>
      </c>
      <c r="Y27" s="35">
        <f t="shared" si="6"/>
        <v>0</v>
      </c>
    </row>
    <row r="28">
      <c r="A28" s="38" t="s">
        <v>28</v>
      </c>
    </row>
    <row r="29">
      <c r="A29" s="8" t="s">
        <v>29</v>
      </c>
    </row>
    <row r="30">
      <c r="A30" s="8" t="s">
        <v>30</v>
      </c>
      <c r="H30" s="8"/>
    </row>
    <row r="31">
      <c r="A31" s="18" t="s">
        <v>31</v>
      </c>
      <c r="B31" s="18"/>
      <c r="C31" s="18"/>
      <c r="D31" s="18"/>
      <c r="E31" s="39"/>
      <c r="F31" s="39"/>
      <c r="G31" s="18"/>
      <c r="H31" s="1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4" t="s">
        <v>37</v>
      </c>
      <c r="B32" s="35">
        <f t="shared" ref="B32:Y32" si="7">IFERROR(10*B33*B35/(B34+1)+10*(B35-1)*((B34+1)/(2*B33)), 2*B36*(2*B35-1))</f>
        <v>0</v>
      </c>
      <c r="C32" s="36">
        <f t="shared" si="7"/>
        <v>0</v>
      </c>
      <c r="D32" s="35">
        <f t="shared" si="7"/>
        <v>0</v>
      </c>
      <c r="E32" s="35">
        <f t="shared" si="7"/>
        <v>0</v>
      </c>
      <c r="F32" s="35">
        <f t="shared" si="7"/>
        <v>0</v>
      </c>
      <c r="G32" s="35">
        <f t="shared" si="7"/>
        <v>0</v>
      </c>
      <c r="H32" s="36">
        <f t="shared" si="7"/>
        <v>0</v>
      </c>
      <c r="I32" s="36">
        <f t="shared" si="7"/>
        <v>0</v>
      </c>
      <c r="J32" s="37">
        <f t="shared" si="7"/>
        <v>0</v>
      </c>
      <c r="K32" s="35">
        <f t="shared" si="7"/>
        <v>0</v>
      </c>
      <c r="L32" s="35">
        <f t="shared" si="7"/>
        <v>0</v>
      </c>
      <c r="M32" s="35">
        <f t="shared" si="7"/>
        <v>0</v>
      </c>
      <c r="N32" s="35">
        <f t="shared" si="7"/>
        <v>0</v>
      </c>
      <c r="O32" s="35">
        <f t="shared" si="7"/>
        <v>0</v>
      </c>
      <c r="P32" s="35">
        <f t="shared" si="7"/>
        <v>0</v>
      </c>
      <c r="Q32" s="35">
        <f t="shared" si="7"/>
        <v>0</v>
      </c>
      <c r="R32" s="35">
        <f t="shared" si="7"/>
        <v>0</v>
      </c>
      <c r="S32" s="35">
        <f t="shared" si="7"/>
        <v>0</v>
      </c>
      <c r="T32" s="36">
        <f t="shared" si="7"/>
        <v>0</v>
      </c>
      <c r="U32" s="35">
        <f t="shared" si="7"/>
        <v>0</v>
      </c>
      <c r="V32" s="35">
        <f t="shared" si="7"/>
        <v>0</v>
      </c>
      <c r="W32" s="35">
        <f t="shared" si="7"/>
        <v>0</v>
      </c>
      <c r="X32" s="35">
        <f t="shared" si="7"/>
        <v>0</v>
      </c>
      <c r="Y32" s="35">
        <f t="shared" si="7"/>
        <v>0</v>
      </c>
    </row>
    <row r="33">
      <c r="A33" s="38" t="s">
        <v>28</v>
      </c>
    </row>
    <row r="34">
      <c r="A34" s="8" t="s">
        <v>29</v>
      </c>
    </row>
    <row r="35">
      <c r="A35" s="8" t="s">
        <v>30</v>
      </c>
      <c r="H35" s="8"/>
    </row>
    <row r="36">
      <c r="A36" s="18" t="s">
        <v>31</v>
      </c>
      <c r="B36" s="18"/>
      <c r="C36" s="18"/>
      <c r="D36" s="18"/>
      <c r="E36" s="39"/>
      <c r="F36" s="39"/>
      <c r="G36" s="18"/>
      <c r="H36" s="1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4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8"/>
    </row>
    <row r="40">
      <c r="A40" s="42"/>
    </row>
    <row r="41">
      <c r="A41" s="8"/>
      <c r="B41" s="8"/>
      <c r="C41" s="8"/>
      <c r="D41" s="8"/>
      <c r="G41" s="8"/>
      <c r="H41" s="8"/>
    </row>
    <row r="42">
      <c r="A42" s="3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8"/>
    </row>
    <row r="45">
      <c r="A45" s="42"/>
    </row>
    <row r="46">
      <c r="A46" s="8"/>
      <c r="B46" s="8"/>
      <c r="C46" s="8"/>
      <c r="D46" s="8"/>
      <c r="G46" s="8"/>
      <c r="H46" s="8"/>
    </row>
    <row r="47">
      <c r="A47" s="3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8"/>
    </row>
    <row r="50">
      <c r="A50" s="42"/>
    </row>
    <row r="51">
      <c r="A51" s="8"/>
      <c r="B51" s="8"/>
      <c r="C51" s="8"/>
      <c r="D51" s="8"/>
      <c r="G51" s="8"/>
      <c r="H51" s="8"/>
    </row>
    <row r="52">
      <c r="A52" s="34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8"/>
    </row>
    <row r="55">
      <c r="A55" s="42"/>
    </row>
    <row r="56">
      <c r="A56" s="8"/>
      <c r="B56" s="8"/>
      <c r="C56" s="8"/>
      <c r="D56" s="8"/>
      <c r="G56" s="8"/>
      <c r="H56" s="8"/>
    </row>
    <row r="57">
      <c r="A57" s="34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8"/>
    </row>
    <row r="60">
      <c r="A60" s="42"/>
    </row>
    <row r="61">
      <c r="A61" s="8"/>
      <c r="B61" s="8"/>
      <c r="C61" s="8"/>
      <c r="D61" s="8"/>
      <c r="G61" s="8"/>
      <c r="H61" s="8"/>
    </row>
    <row r="62">
      <c r="A62" s="3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8"/>
    </row>
    <row r="65">
      <c r="A65" s="42"/>
    </row>
    <row r="66">
      <c r="A66" s="8"/>
      <c r="B66" s="8"/>
      <c r="C66" s="8"/>
      <c r="D66" s="8"/>
      <c r="G66" s="8"/>
      <c r="H66" s="8"/>
    </row>
    <row r="67">
      <c r="A67" s="34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8"/>
    </row>
    <row r="70">
      <c r="A70" s="42"/>
    </row>
    <row r="71">
      <c r="A71" s="8"/>
      <c r="B71" s="8"/>
      <c r="C71" s="8"/>
      <c r="D71" s="8"/>
      <c r="G71" s="8"/>
      <c r="H71" s="8"/>
    </row>
    <row r="72">
      <c r="A72" s="3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8"/>
    </row>
    <row r="75">
      <c r="A75" s="42"/>
    </row>
    <row r="76">
      <c r="A76" s="8"/>
      <c r="B76" s="8"/>
      <c r="C76" s="8"/>
      <c r="D76" s="8"/>
      <c r="G76" s="8"/>
      <c r="H76" s="8"/>
    </row>
    <row r="77">
      <c r="A77" s="3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8"/>
    </row>
    <row r="80">
      <c r="A80" s="42"/>
    </row>
    <row r="81">
      <c r="A81" s="8"/>
      <c r="B81" s="8"/>
      <c r="C81" s="8"/>
      <c r="D81" s="8"/>
      <c r="G81" s="8"/>
      <c r="H81" s="8"/>
    </row>
  </sheetData>
  <conditionalFormatting sqref="A2:Y2 A7:Y7 A12:Y12 A17:Y17 A22:Y22 A27:Y27 A32:Y32 A37:Y37 A42:Y42 A47:Y47 A52:Y52 A57:Y57 A63:Y63 A67:Y67 A72:Y72 A75:Y75 A77:Y77">
    <cfRule type="cellIs" dxfId="1" priority="1" operator="lessThan">
      <formula>0</formula>
    </cfRule>
  </conditionalFormatting>
  <conditionalFormatting sqref="A2:Y2 A7:Y7 A12:Y12 A17:Y17 A22:Y22 A27:Y27 A32:Y32 A37:Y37 A42:Y42 A47:Y47 A52:Y52 A57:Y57 A62:Y62 A67:Y67 A72:Y72 A77:Y77">
    <cfRule type="cellIs" dxfId="2" priority="2" operator="greaterThan">
      <formula>0</formula>
    </cfRule>
  </conditionalFormatting>
  <conditionalFormatting sqref="A2:Y2 A7:Y7 A12:Y12 A17:Y17 A22:Y22 A27:Y27 A32:Y32 A37:Y37 A42:Y42 A47:Y47 A52:Y52 A57:Y57 A62:Y63 A67:Y67 A72:Y72 A75:Y75 A77:Y77">
    <cfRule type="cellIs" dxfId="3" priority="3" operator="equal">
      <formula>0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33" t="str">
        <f>'Total Score'!B1</f>
        <v>Llama</v>
      </c>
      <c r="C1" s="33" t="str">
        <f>'Total Score'!C1</f>
        <v>Nic</v>
      </c>
      <c r="D1" s="33" t="str">
        <f>'Total Score'!D1</f>
        <v>Taank</v>
      </c>
      <c r="E1" s="33" t="str">
        <f>'Total Score'!E1</f>
        <v>Elephant</v>
      </c>
      <c r="F1" s="33" t="str">
        <f>'Total Score'!F1</f>
        <v>Jorg</v>
      </c>
      <c r="G1" s="33" t="str">
        <f>'Total Score'!G1</f>
        <v>Deadlock</v>
      </c>
      <c r="H1" s="33" t="str">
        <f>'Total Score'!H1</f>
        <v>Veil</v>
      </c>
      <c r="I1" s="33" t="str">
        <f>'Total Score'!I1</f>
        <v>Arch</v>
      </c>
      <c r="J1" s="33" t="str">
        <f>'Total Score'!J1</f>
        <v>Winter</v>
      </c>
      <c r="K1" s="33" t="str">
        <f>'Total Score'!K1</f>
        <v/>
      </c>
      <c r="L1" s="33" t="str">
        <f>'Total Score'!L1</f>
        <v/>
      </c>
      <c r="M1" s="33" t="str">
        <f>'Total Score'!M1</f>
        <v/>
      </c>
      <c r="N1" s="33" t="str">
        <f>'Total Score'!N1</f>
        <v/>
      </c>
      <c r="O1" s="33" t="str">
        <f>'Total Score'!O1</f>
        <v/>
      </c>
      <c r="P1" s="33" t="str">
        <f>'Total Score'!P1</f>
        <v/>
      </c>
      <c r="Q1" s="33" t="str">
        <f>'Total Score'!Q1</f>
        <v/>
      </c>
      <c r="R1" s="33" t="str">
        <f>'Total Score'!R1</f>
        <v/>
      </c>
      <c r="S1" s="33" t="str">
        <f>'Total Score'!S1</f>
        <v/>
      </c>
      <c r="T1" s="33" t="str">
        <f>'Total Score'!T1</f>
        <v/>
      </c>
      <c r="U1" s="33" t="str">
        <f>'Total Score'!U1</f>
        <v/>
      </c>
      <c r="V1" s="33" t="str">
        <f>'Total Score'!V1</f>
        <v/>
      </c>
      <c r="W1" s="33" t="str">
        <f>'Total Score'!W1</f>
        <v/>
      </c>
      <c r="X1" s="33" t="str">
        <f>'Total Score'!X1</f>
        <v/>
      </c>
      <c r="Y1" s="33" t="str">
        <f>'Total Score'!Y1</f>
        <v/>
      </c>
    </row>
    <row r="2">
      <c r="A2" s="34" t="s">
        <v>27</v>
      </c>
      <c r="B2" s="43">
        <f t="shared" ref="B2:Y2" si="1">IFERROR(10*B3*B5/(B4+1)+10*(B5-1)*((B4+1)/(2*B3)), 2*B6*(2*B5-1))</f>
        <v>0</v>
      </c>
      <c r="C2" s="44">
        <f t="shared" si="1"/>
        <v>0</v>
      </c>
      <c r="D2" s="43">
        <f t="shared" si="1"/>
        <v>0</v>
      </c>
      <c r="E2" s="43">
        <f t="shared" si="1"/>
        <v>0</v>
      </c>
      <c r="F2" s="43">
        <f t="shared" si="1"/>
        <v>0</v>
      </c>
      <c r="G2" s="43">
        <f t="shared" si="1"/>
        <v>0</v>
      </c>
      <c r="H2" s="44">
        <f t="shared" si="1"/>
        <v>0</v>
      </c>
      <c r="I2" s="44">
        <f t="shared" si="1"/>
        <v>0</v>
      </c>
      <c r="J2" s="45">
        <f t="shared" si="1"/>
        <v>0</v>
      </c>
      <c r="K2" s="43">
        <f t="shared" si="1"/>
        <v>0</v>
      </c>
      <c r="L2" s="43">
        <f t="shared" si="1"/>
        <v>0</v>
      </c>
      <c r="M2" s="43">
        <f t="shared" si="1"/>
        <v>0</v>
      </c>
      <c r="N2" s="43">
        <f t="shared" si="1"/>
        <v>0</v>
      </c>
      <c r="O2" s="43">
        <f t="shared" si="1"/>
        <v>0</v>
      </c>
      <c r="P2" s="43">
        <f t="shared" si="1"/>
        <v>0</v>
      </c>
      <c r="Q2" s="43">
        <f t="shared" si="1"/>
        <v>0</v>
      </c>
      <c r="R2" s="43">
        <f t="shared" si="1"/>
        <v>0</v>
      </c>
      <c r="S2" s="43">
        <f t="shared" si="1"/>
        <v>0</v>
      </c>
      <c r="T2" s="44">
        <f t="shared" si="1"/>
        <v>0</v>
      </c>
      <c r="U2" s="43">
        <f t="shared" si="1"/>
        <v>0</v>
      </c>
      <c r="V2" s="43">
        <f t="shared" si="1"/>
        <v>0</v>
      </c>
      <c r="W2" s="43">
        <f t="shared" si="1"/>
        <v>0</v>
      </c>
      <c r="X2" s="43">
        <f t="shared" si="1"/>
        <v>0</v>
      </c>
      <c r="Y2" s="43">
        <f t="shared" si="1"/>
        <v>0</v>
      </c>
    </row>
    <row r="3">
      <c r="A3" s="38" t="s">
        <v>28</v>
      </c>
    </row>
    <row r="4">
      <c r="A4" s="8" t="s">
        <v>29</v>
      </c>
    </row>
    <row r="5">
      <c r="A5" s="8" t="s">
        <v>30</v>
      </c>
      <c r="H5" s="8"/>
    </row>
    <row r="6">
      <c r="A6" s="18" t="s">
        <v>31</v>
      </c>
      <c r="B6" s="18"/>
      <c r="C6" s="18"/>
      <c r="D6" s="18"/>
      <c r="E6" s="39"/>
      <c r="F6" s="39"/>
      <c r="G6" s="18"/>
      <c r="H6" s="1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34" t="s">
        <v>32</v>
      </c>
      <c r="B7" s="35">
        <f t="shared" ref="B7:Y7" si="2">IFERROR(10*B8*B10/(B9+1)+10*(B10-1)*((B9+1)/(2*B8)), 2*B11*(2*B10-1))</f>
        <v>0</v>
      </c>
      <c r="C7" s="36">
        <f t="shared" si="2"/>
        <v>0</v>
      </c>
      <c r="D7" s="35">
        <f t="shared" si="2"/>
        <v>0</v>
      </c>
      <c r="E7" s="35">
        <f t="shared" si="2"/>
        <v>0</v>
      </c>
      <c r="F7" s="35">
        <f t="shared" si="2"/>
        <v>0</v>
      </c>
      <c r="G7" s="35">
        <f t="shared" si="2"/>
        <v>0</v>
      </c>
      <c r="H7" s="36">
        <f t="shared" si="2"/>
        <v>0</v>
      </c>
      <c r="I7" s="36">
        <f t="shared" si="2"/>
        <v>0</v>
      </c>
      <c r="J7" s="37">
        <f t="shared" si="2"/>
        <v>0</v>
      </c>
      <c r="K7" s="35">
        <f t="shared" si="2"/>
        <v>0</v>
      </c>
      <c r="L7" s="35">
        <f t="shared" si="2"/>
        <v>0</v>
      </c>
      <c r="M7" s="35">
        <f t="shared" si="2"/>
        <v>0</v>
      </c>
      <c r="N7" s="35">
        <f t="shared" si="2"/>
        <v>0</v>
      </c>
      <c r="O7" s="35">
        <f t="shared" si="2"/>
        <v>0</v>
      </c>
      <c r="P7" s="35">
        <f t="shared" si="2"/>
        <v>0</v>
      </c>
      <c r="Q7" s="35">
        <f t="shared" si="2"/>
        <v>0</v>
      </c>
      <c r="R7" s="35">
        <f t="shared" si="2"/>
        <v>0</v>
      </c>
      <c r="S7" s="35">
        <f t="shared" si="2"/>
        <v>0</v>
      </c>
      <c r="T7" s="36">
        <f t="shared" si="2"/>
        <v>0</v>
      </c>
      <c r="U7" s="35">
        <f t="shared" si="2"/>
        <v>0</v>
      </c>
      <c r="V7" s="35">
        <f t="shared" si="2"/>
        <v>0</v>
      </c>
      <c r="W7" s="35">
        <f t="shared" si="2"/>
        <v>0</v>
      </c>
      <c r="X7" s="35">
        <f t="shared" si="2"/>
        <v>0</v>
      </c>
      <c r="Y7" s="35">
        <f t="shared" si="2"/>
        <v>0</v>
      </c>
    </row>
    <row r="8">
      <c r="A8" s="38" t="s">
        <v>28</v>
      </c>
    </row>
    <row r="9">
      <c r="A9" s="8" t="s">
        <v>29</v>
      </c>
    </row>
    <row r="10">
      <c r="A10" s="8" t="s">
        <v>30</v>
      </c>
    </row>
    <row r="11">
      <c r="A11" s="18" t="s">
        <v>31</v>
      </c>
      <c r="B11" s="18"/>
      <c r="C11" s="18"/>
      <c r="D11" s="18"/>
      <c r="E11" s="39"/>
      <c r="F11" s="39"/>
      <c r="G11" s="18"/>
      <c r="H11" s="1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34" t="s">
        <v>33</v>
      </c>
      <c r="B12" s="35">
        <f t="shared" ref="B12:Y12" si="3">IFERROR(10*B13*B15/(B14+1)+10*(B15-1)*((B14+1)/(2*B13)), 2*B16*(2*B15-1))</f>
        <v>0</v>
      </c>
      <c r="C12" s="36">
        <f t="shared" si="3"/>
        <v>0</v>
      </c>
      <c r="D12" s="35">
        <f t="shared" si="3"/>
        <v>0</v>
      </c>
      <c r="E12" s="35">
        <f t="shared" si="3"/>
        <v>0</v>
      </c>
      <c r="F12" s="35">
        <f t="shared" si="3"/>
        <v>0</v>
      </c>
      <c r="G12" s="35">
        <f t="shared" si="3"/>
        <v>0</v>
      </c>
      <c r="H12" s="36">
        <f t="shared" si="3"/>
        <v>0</v>
      </c>
      <c r="I12" s="36">
        <f t="shared" si="3"/>
        <v>0</v>
      </c>
      <c r="J12" s="37">
        <f t="shared" si="3"/>
        <v>0</v>
      </c>
      <c r="K12" s="35">
        <f t="shared" si="3"/>
        <v>0</v>
      </c>
      <c r="L12" s="35">
        <f t="shared" si="3"/>
        <v>0</v>
      </c>
      <c r="M12" s="35">
        <f t="shared" si="3"/>
        <v>0</v>
      </c>
      <c r="N12" s="35">
        <f t="shared" si="3"/>
        <v>0</v>
      </c>
      <c r="O12" s="35">
        <f t="shared" si="3"/>
        <v>0</v>
      </c>
      <c r="P12" s="35">
        <f t="shared" si="3"/>
        <v>0</v>
      </c>
      <c r="Q12" s="35">
        <f t="shared" si="3"/>
        <v>0</v>
      </c>
      <c r="R12" s="35">
        <f t="shared" si="3"/>
        <v>0</v>
      </c>
      <c r="S12" s="35">
        <f t="shared" si="3"/>
        <v>0</v>
      </c>
      <c r="T12" s="36">
        <f t="shared" si="3"/>
        <v>0</v>
      </c>
      <c r="U12" s="35">
        <f t="shared" si="3"/>
        <v>0</v>
      </c>
      <c r="V12" s="35">
        <f t="shared" si="3"/>
        <v>0</v>
      </c>
      <c r="W12" s="35">
        <f t="shared" si="3"/>
        <v>0</v>
      </c>
      <c r="X12" s="35">
        <f t="shared" si="3"/>
        <v>0</v>
      </c>
      <c r="Y12" s="35">
        <f t="shared" si="3"/>
        <v>0</v>
      </c>
    </row>
    <row r="13">
      <c r="A13" s="38" t="s">
        <v>28</v>
      </c>
    </row>
    <row r="14">
      <c r="A14" s="8" t="s">
        <v>29</v>
      </c>
    </row>
    <row r="15">
      <c r="A15" s="8" t="s">
        <v>30</v>
      </c>
    </row>
    <row r="16">
      <c r="A16" s="18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34" t="s">
        <v>34</v>
      </c>
      <c r="B17" s="35">
        <f t="shared" ref="B17:Y17" si="4">IFERROR(10*B18*B20/(B19+1)+10*(B20-1)*((B19+1)/(2*B18)), 2*B21*(2*B20-1))</f>
        <v>0</v>
      </c>
      <c r="C17" s="36">
        <f t="shared" si="4"/>
        <v>0</v>
      </c>
      <c r="D17" s="35">
        <f t="shared" si="4"/>
        <v>0</v>
      </c>
      <c r="E17" s="35">
        <f t="shared" si="4"/>
        <v>0</v>
      </c>
      <c r="F17" s="35">
        <f t="shared" si="4"/>
        <v>0</v>
      </c>
      <c r="G17" s="35">
        <f t="shared" si="4"/>
        <v>0</v>
      </c>
      <c r="H17" s="36">
        <f t="shared" si="4"/>
        <v>0</v>
      </c>
      <c r="I17" s="36">
        <f t="shared" si="4"/>
        <v>0</v>
      </c>
      <c r="J17" s="37">
        <f t="shared" si="4"/>
        <v>0</v>
      </c>
      <c r="K17" s="35">
        <f t="shared" si="4"/>
        <v>0</v>
      </c>
      <c r="L17" s="35">
        <f t="shared" si="4"/>
        <v>0</v>
      </c>
      <c r="M17" s="35">
        <f t="shared" si="4"/>
        <v>0</v>
      </c>
      <c r="N17" s="35">
        <f t="shared" si="4"/>
        <v>0</v>
      </c>
      <c r="O17" s="35">
        <f t="shared" si="4"/>
        <v>0</v>
      </c>
      <c r="P17" s="35">
        <f t="shared" si="4"/>
        <v>0</v>
      </c>
      <c r="Q17" s="35">
        <f t="shared" si="4"/>
        <v>0</v>
      </c>
      <c r="R17" s="35">
        <f t="shared" si="4"/>
        <v>0</v>
      </c>
      <c r="S17" s="35">
        <f t="shared" si="4"/>
        <v>0</v>
      </c>
      <c r="T17" s="36">
        <f t="shared" si="4"/>
        <v>0</v>
      </c>
      <c r="U17" s="35">
        <f t="shared" si="4"/>
        <v>0</v>
      </c>
      <c r="V17" s="35">
        <f t="shared" si="4"/>
        <v>0</v>
      </c>
      <c r="W17" s="35">
        <f t="shared" si="4"/>
        <v>0</v>
      </c>
      <c r="X17" s="35">
        <f t="shared" si="4"/>
        <v>0</v>
      </c>
      <c r="Y17" s="35">
        <f t="shared" si="4"/>
        <v>0</v>
      </c>
    </row>
    <row r="18">
      <c r="A18" s="38" t="s">
        <v>28</v>
      </c>
    </row>
    <row r="19">
      <c r="A19" s="8" t="s">
        <v>29</v>
      </c>
    </row>
    <row r="20">
      <c r="A20" s="8" t="s">
        <v>30</v>
      </c>
      <c r="H20" s="8"/>
    </row>
    <row r="21">
      <c r="A21" s="18" t="s">
        <v>31</v>
      </c>
      <c r="B21" s="18"/>
      <c r="C21" s="18"/>
      <c r="D21" s="18"/>
      <c r="E21" s="39"/>
      <c r="F21" s="39"/>
      <c r="G21" s="18"/>
      <c r="H21" s="1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34" t="s">
        <v>35</v>
      </c>
      <c r="B22" s="35">
        <f t="shared" ref="B22:Y22" si="5">IFERROR(10*B23*B25/(B24+1)+10*(B25-1)*((B24+1)/(2*B23)), 2*B26*(2*B25-1))</f>
        <v>0</v>
      </c>
      <c r="C22" s="36">
        <f t="shared" si="5"/>
        <v>0</v>
      </c>
      <c r="D22" s="35">
        <f t="shared" si="5"/>
        <v>0</v>
      </c>
      <c r="E22" s="35">
        <f t="shared" si="5"/>
        <v>0</v>
      </c>
      <c r="F22" s="35">
        <f t="shared" si="5"/>
        <v>0</v>
      </c>
      <c r="G22" s="35">
        <f t="shared" si="5"/>
        <v>0</v>
      </c>
      <c r="H22" s="36">
        <f t="shared" si="5"/>
        <v>0</v>
      </c>
      <c r="I22" s="36">
        <f t="shared" si="5"/>
        <v>0</v>
      </c>
      <c r="J22" s="37">
        <f t="shared" si="5"/>
        <v>0</v>
      </c>
      <c r="K22" s="35">
        <f t="shared" si="5"/>
        <v>0</v>
      </c>
      <c r="L22" s="35">
        <f t="shared" si="5"/>
        <v>0</v>
      </c>
      <c r="M22" s="35">
        <f t="shared" si="5"/>
        <v>0</v>
      </c>
      <c r="N22" s="35">
        <f t="shared" si="5"/>
        <v>0</v>
      </c>
      <c r="O22" s="35">
        <f t="shared" si="5"/>
        <v>0</v>
      </c>
      <c r="P22" s="35">
        <f t="shared" si="5"/>
        <v>0</v>
      </c>
      <c r="Q22" s="35">
        <f t="shared" si="5"/>
        <v>0</v>
      </c>
      <c r="R22" s="35">
        <f t="shared" si="5"/>
        <v>0</v>
      </c>
      <c r="S22" s="35">
        <f t="shared" si="5"/>
        <v>0</v>
      </c>
      <c r="T22" s="36">
        <f t="shared" si="5"/>
        <v>0</v>
      </c>
      <c r="U22" s="35">
        <f t="shared" si="5"/>
        <v>0</v>
      </c>
      <c r="V22" s="35">
        <f t="shared" si="5"/>
        <v>0</v>
      </c>
      <c r="W22" s="35">
        <f t="shared" si="5"/>
        <v>0</v>
      </c>
      <c r="X22" s="35">
        <f t="shared" si="5"/>
        <v>0</v>
      </c>
      <c r="Y22" s="35">
        <f t="shared" si="5"/>
        <v>0</v>
      </c>
    </row>
    <row r="23">
      <c r="A23" s="38" t="s">
        <v>28</v>
      </c>
    </row>
    <row r="24">
      <c r="A24" s="8" t="s">
        <v>29</v>
      </c>
    </row>
    <row r="25">
      <c r="A25" s="8" t="s">
        <v>30</v>
      </c>
      <c r="H25" s="8"/>
    </row>
    <row r="26">
      <c r="A26" s="18" t="s">
        <v>31</v>
      </c>
      <c r="B26" s="18"/>
      <c r="C26" s="18"/>
      <c r="D26" s="18"/>
      <c r="E26" s="39"/>
      <c r="F26" s="39"/>
      <c r="G26" s="18"/>
      <c r="H26" s="1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4" t="s">
        <v>36</v>
      </c>
      <c r="B27" s="35">
        <f t="shared" ref="B27:Y27" si="6">IFERROR(10*B28*B30/(B29+1)+10*(B30-1)*((B29+1)/(2*B28)), 2*B31*(2*B30-1))</f>
        <v>0</v>
      </c>
      <c r="C27" s="36">
        <f t="shared" si="6"/>
        <v>0</v>
      </c>
      <c r="D27" s="35">
        <f t="shared" si="6"/>
        <v>0</v>
      </c>
      <c r="E27" s="35">
        <f t="shared" si="6"/>
        <v>0</v>
      </c>
      <c r="F27" s="35">
        <f t="shared" si="6"/>
        <v>0</v>
      </c>
      <c r="G27" s="35">
        <f t="shared" si="6"/>
        <v>0</v>
      </c>
      <c r="H27" s="36">
        <f t="shared" si="6"/>
        <v>0</v>
      </c>
      <c r="I27" s="36">
        <f t="shared" si="6"/>
        <v>0</v>
      </c>
      <c r="J27" s="37">
        <f t="shared" si="6"/>
        <v>0</v>
      </c>
      <c r="K27" s="35">
        <f t="shared" si="6"/>
        <v>0</v>
      </c>
      <c r="L27" s="35">
        <f t="shared" si="6"/>
        <v>0</v>
      </c>
      <c r="M27" s="35">
        <f t="shared" si="6"/>
        <v>0</v>
      </c>
      <c r="N27" s="35">
        <f t="shared" si="6"/>
        <v>0</v>
      </c>
      <c r="O27" s="35">
        <f t="shared" si="6"/>
        <v>0</v>
      </c>
      <c r="P27" s="35">
        <f t="shared" si="6"/>
        <v>0</v>
      </c>
      <c r="Q27" s="35">
        <f t="shared" si="6"/>
        <v>0</v>
      </c>
      <c r="R27" s="35">
        <f t="shared" si="6"/>
        <v>0</v>
      </c>
      <c r="S27" s="35">
        <f t="shared" si="6"/>
        <v>0</v>
      </c>
      <c r="T27" s="36">
        <f t="shared" si="6"/>
        <v>0</v>
      </c>
      <c r="U27" s="35">
        <f t="shared" si="6"/>
        <v>0</v>
      </c>
      <c r="V27" s="35">
        <f t="shared" si="6"/>
        <v>0</v>
      </c>
      <c r="W27" s="35">
        <f t="shared" si="6"/>
        <v>0</v>
      </c>
      <c r="X27" s="35">
        <f t="shared" si="6"/>
        <v>0</v>
      </c>
      <c r="Y27" s="35">
        <f t="shared" si="6"/>
        <v>0</v>
      </c>
    </row>
    <row r="28">
      <c r="A28" s="38" t="s">
        <v>28</v>
      </c>
    </row>
    <row r="29">
      <c r="A29" s="8" t="s">
        <v>29</v>
      </c>
    </row>
    <row r="30">
      <c r="A30" s="8" t="s">
        <v>30</v>
      </c>
      <c r="H30" s="8"/>
    </row>
    <row r="31">
      <c r="A31" s="18" t="s">
        <v>31</v>
      </c>
      <c r="B31" s="18"/>
      <c r="C31" s="18"/>
      <c r="D31" s="18"/>
      <c r="E31" s="39"/>
      <c r="F31" s="39"/>
      <c r="G31" s="18"/>
      <c r="H31" s="1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4" t="s">
        <v>37</v>
      </c>
      <c r="B32" s="35">
        <f t="shared" ref="B32:Y32" si="7">IFERROR(10*B33*B35/(B34+1)+10*(B35-1)*((B34+1)/(2*B33)), 2*B36*(2*B35-1))</f>
        <v>0</v>
      </c>
      <c r="C32" s="36">
        <f t="shared" si="7"/>
        <v>0</v>
      </c>
      <c r="D32" s="35">
        <f t="shared" si="7"/>
        <v>0</v>
      </c>
      <c r="E32" s="35">
        <f t="shared" si="7"/>
        <v>0</v>
      </c>
      <c r="F32" s="35">
        <f t="shared" si="7"/>
        <v>0</v>
      </c>
      <c r="G32" s="35">
        <f t="shared" si="7"/>
        <v>0</v>
      </c>
      <c r="H32" s="36">
        <f t="shared" si="7"/>
        <v>0</v>
      </c>
      <c r="I32" s="36">
        <f t="shared" si="7"/>
        <v>0</v>
      </c>
      <c r="J32" s="37">
        <f t="shared" si="7"/>
        <v>0</v>
      </c>
      <c r="K32" s="35">
        <f t="shared" si="7"/>
        <v>0</v>
      </c>
      <c r="L32" s="35">
        <f t="shared" si="7"/>
        <v>0</v>
      </c>
      <c r="M32" s="35">
        <f t="shared" si="7"/>
        <v>0</v>
      </c>
      <c r="N32" s="35">
        <f t="shared" si="7"/>
        <v>0</v>
      </c>
      <c r="O32" s="35">
        <f t="shared" si="7"/>
        <v>0</v>
      </c>
      <c r="P32" s="35">
        <f t="shared" si="7"/>
        <v>0</v>
      </c>
      <c r="Q32" s="35">
        <f t="shared" si="7"/>
        <v>0</v>
      </c>
      <c r="R32" s="35">
        <f t="shared" si="7"/>
        <v>0</v>
      </c>
      <c r="S32" s="35">
        <f t="shared" si="7"/>
        <v>0</v>
      </c>
      <c r="T32" s="36">
        <f t="shared" si="7"/>
        <v>0</v>
      </c>
      <c r="U32" s="35">
        <f t="shared" si="7"/>
        <v>0</v>
      </c>
      <c r="V32" s="35">
        <f t="shared" si="7"/>
        <v>0</v>
      </c>
      <c r="W32" s="35">
        <f t="shared" si="7"/>
        <v>0</v>
      </c>
      <c r="X32" s="35">
        <f t="shared" si="7"/>
        <v>0</v>
      </c>
      <c r="Y32" s="35">
        <f t="shared" si="7"/>
        <v>0</v>
      </c>
    </row>
    <row r="33">
      <c r="A33" s="38" t="s">
        <v>28</v>
      </c>
    </row>
    <row r="34">
      <c r="A34" s="8" t="s">
        <v>29</v>
      </c>
    </row>
    <row r="35">
      <c r="A35" s="8" t="s">
        <v>30</v>
      </c>
      <c r="H35" s="8"/>
    </row>
    <row r="36">
      <c r="A36" s="18" t="s">
        <v>31</v>
      </c>
      <c r="B36" s="18"/>
      <c r="C36" s="18"/>
      <c r="D36" s="18"/>
      <c r="E36" s="39"/>
      <c r="F36" s="39"/>
      <c r="G36" s="18"/>
      <c r="H36" s="1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4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8"/>
    </row>
    <row r="40">
      <c r="A40" s="42"/>
    </row>
    <row r="41">
      <c r="A41" s="8"/>
      <c r="B41" s="8"/>
      <c r="C41" s="8"/>
      <c r="D41" s="8"/>
      <c r="G41" s="8"/>
      <c r="H41" s="8"/>
    </row>
    <row r="42">
      <c r="A42" s="3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8"/>
    </row>
    <row r="45">
      <c r="A45" s="42"/>
    </row>
    <row r="46">
      <c r="A46" s="8"/>
      <c r="B46" s="8"/>
      <c r="C46" s="8"/>
      <c r="D46" s="8"/>
      <c r="G46" s="8"/>
      <c r="H46" s="8"/>
    </row>
    <row r="47">
      <c r="A47" s="3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8"/>
    </row>
    <row r="50">
      <c r="A50" s="42"/>
    </row>
    <row r="51">
      <c r="A51" s="8"/>
      <c r="B51" s="8"/>
      <c r="C51" s="8"/>
      <c r="D51" s="8"/>
      <c r="G51" s="8"/>
      <c r="H51" s="8"/>
    </row>
    <row r="52">
      <c r="A52" s="34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8"/>
    </row>
    <row r="55">
      <c r="A55" s="42"/>
    </row>
    <row r="56">
      <c r="A56" s="8"/>
      <c r="B56" s="8"/>
      <c r="C56" s="8"/>
      <c r="D56" s="8"/>
      <c r="G56" s="8"/>
      <c r="H56" s="8"/>
    </row>
    <row r="57">
      <c r="A57" s="34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8"/>
    </row>
    <row r="60">
      <c r="A60" s="42"/>
    </row>
    <row r="61">
      <c r="A61" s="8"/>
      <c r="B61" s="8"/>
      <c r="C61" s="8"/>
      <c r="D61" s="8"/>
      <c r="G61" s="8"/>
      <c r="H61" s="8"/>
    </row>
    <row r="62">
      <c r="A62" s="3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8"/>
    </row>
    <row r="65">
      <c r="A65" s="42"/>
    </row>
    <row r="66">
      <c r="A66" s="8"/>
      <c r="B66" s="8"/>
      <c r="C66" s="8"/>
      <c r="D66" s="8"/>
      <c r="G66" s="8"/>
      <c r="H66" s="8"/>
    </row>
    <row r="67">
      <c r="A67" s="34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8"/>
    </row>
    <row r="70">
      <c r="A70" s="42"/>
    </row>
    <row r="71">
      <c r="A71" s="8"/>
      <c r="B71" s="8"/>
      <c r="C71" s="8"/>
      <c r="D71" s="8"/>
      <c r="G71" s="8"/>
      <c r="H71" s="8"/>
    </row>
    <row r="72">
      <c r="A72" s="3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8"/>
    </row>
    <row r="75">
      <c r="A75" s="42"/>
    </row>
    <row r="76">
      <c r="A76" s="8"/>
      <c r="B76" s="8"/>
      <c r="C76" s="8"/>
      <c r="D76" s="8"/>
      <c r="G76" s="8"/>
      <c r="H76" s="8"/>
    </row>
    <row r="77">
      <c r="A77" s="3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8"/>
    </row>
    <row r="80">
      <c r="A80" s="42"/>
    </row>
    <row r="81">
      <c r="A81" s="8"/>
      <c r="B81" s="8"/>
      <c r="C81" s="8"/>
      <c r="D81" s="8"/>
      <c r="G81" s="8"/>
      <c r="H81" s="8"/>
    </row>
  </sheetData>
  <conditionalFormatting sqref="A2:Y2 A7:Y7 A12:Y12 A17:Y17 A22:Y22 A27:Y27 A32:Y32 A37:Y37 A42:Y42 A47:Y47 A52:Y52 A57:Y57 A63:Y63 A67:Y67 A72:Y72 A75:Y75 A77:Y77">
    <cfRule type="cellIs" dxfId="1" priority="1" operator="lessThan">
      <formula>0</formula>
    </cfRule>
  </conditionalFormatting>
  <conditionalFormatting sqref="A2:Y2 A7:Y7 A12:Y12 A17:Y17 A22:Y22 A27:Y27 A32:Y32 A37:Y37 A42:Y42 A47:Y47 A52:Y52 A57:Y57 A62:Y62 A67:Y67 A72:Y72 A77:Y77">
    <cfRule type="cellIs" dxfId="2" priority="2" operator="greaterThan">
      <formula>0</formula>
    </cfRule>
  </conditionalFormatting>
  <conditionalFormatting sqref="A2:Y2 A7:Y7 A12:Y12 A17:Y17 A22:Y22 A27:Y27 A32:Y32 A37:Y37 A42:Y42 A47:Y47 A52:Y52 A57:Y57 A62:Y63 A67:Y67 A72:Y72 A75:Y75 A77:Y77">
    <cfRule type="cellIs" dxfId="3" priority="3" operator="equal">
      <formula>0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33" t="str">
        <f>'Total Score'!B1</f>
        <v>Llama</v>
      </c>
      <c r="C1" s="33" t="str">
        <f>'Total Score'!C1</f>
        <v>Nic</v>
      </c>
      <c r="D1" s="33" t="str">
        <f>'Total Score'!D1</f>
        <v>Taank</v>
      </c>
      <c r="E1" s="33" t="str">
        <f>'Total Score'!E1</f>
        <v>Elephant</v>
      </c>
      <c r="F1" s="33" t="str">
        <f>'Total Score'!F1</f>
        <v>Jorg</v>
      </c>
      <c r="G1" s="33" t="str">
        <f>'Total Score'!G1</f>
        <v>Deadlock</v>
      </c>
      <c r="H1" s="33" t="str">
        <f>'Total Score'!H1</f>
        <v>Veil</v>
      </c>
      <c r="I1" s="33" t="str">
        <f>'Total Score'!I1</f>
        <v>Arch</v>
      </c>
      <c r="J1" s="33" t="str">
        <f>'Total Score'!J1</f>
        <v>Winter</v>
      </c>
      <c r="K1" s="33" t="str">
        <f>'Total Score'!K1</f>
        <v/>
      </c>
      <c r="L1" s="33" t="str">
        <f>'Total Score'!L1</f>
        <v/>
      </c>
      <c r="M1" s="33" t="str">
        <f>'Total Score'!M1</f>
        <v/>
      </c>
      <c r="N1" s="33" t="str">
        <f>'Total Score'!N1</f>
        <v/>
      </c>
      <c r="O1" s="33" t="str">
        <f>'Total Score'!O1</f>
        <v/>
      </c>
      <c r="P1" s="33" t="str">
        <f>'Total Score'!P1</f>
        <v/>
      </c>
      <c r="Q1" s="33" t="str">
        <f>'Total Score'!Q1</f>
        <v/>
      </c>
      <c r="R1" s="33" t="str">
        <f>'Total Score'!R1</f>
        <v/>
      </c>
      <c r="S1" s="33" t="str">
        <f>'Total Score'!S1</f>
        <v/>
      </c>
      <c r="T1" s="33" t="str">
        <f>'Total Score'!T1</f>
        <v/>
      </c>
      <c r="U1" s="33" t="str">
        <f>'Total Score'!U1</f>
        <v/>
      </c>
      <c r="V1" s="33" t="str">
        <f>'Total Score'!V1</f>
        <v/>
      </c>
      <c r="W1" s="33" t="str">
        <f>'Total Score'!W1</f>
        <v/>
      </c>
      <c r="X1" s="33" t="str">
        <f>'Total Score'!X1</f>
        <v/>
      </c>
      <c r="Y1" s="33" t="str">
        <f>'Total Score'!Y1</f>
        <v/>
      </c>
    </row>
    <row r="2">
      <c r="A2" s="34" t="s">
        <v>27</v>
      </c>
      <c r="B2" s="43">
        <f t="shared" ref="B2:Y2" si="1">IFERROR(10*B3*B5/(B4+1)+10*(B5-1)*((B4+1)/(2*B3)), 2*B6*(2*B5-1))</f>
        <v>0</v>
      </c>
      <c r="C2" s="44">
        <f t="shared" si="1"/>
        <v>0</v>
      </c>
      <c r="D2" s="43">
        <f t="shared" si="1"/>
        <v>0</v>
      </c>
      <c r="E2" s="43">
        <f t="shared" si="1"/>
        <v>0</v>
      </c>
      <c r="F2" s="43">
        <f t="shared" si="1"/>
        <v>0</v>
      </c>
      <c r="G2" s="43">
        <f t="shared" si="1"/>
        <v>0</v>
      </c>
      <c r="H2" s="44">
        <f t="shared" si="1"/>
        <v>0</v>
      </c>
      <c r="I2" s="44">
        <f t="shared" si="1"/>
        <v>0</v>
      </c>
      <c r="J2" s="45">
        <f t="shared" si="1"/>
        <v>0</v>
      </c>
      <c r="K2" s="43">
        <f t="shared" si="1"/>
        <v>0</v>
      </c>
      <c r="L2" s="43">
        <f t="shared" si="1"/>
        <v>0</v>
      </c>
      <c r="M2" s="43">
        <f t="shared" si="1"/>
        <v>0</v>
      </c>
      <c r="N2" s="43">
        <f t="shared" si="1"/>
        <v>0</v>
      </c>
      <c r="O2" s="43">
        <f t="shared" si="1"/>
        <v>0</v>
      </c>
      <c r="P2" s="43">
        <f t="shared" si="1"/>
        <v>0</v>
      </c>
      <c r="Q2" s="43">
        <f t="shared" si="1"/>
        <v>0</v>
      </c>
      <c r="R2" s="43">
        <f t="shared" si="1"/>
        <v>0</v>
      </c>
      <c r="S2" s="43">
        <f t="shared" si="1"/>
        <v>0</v>
      </c>
      <c r="T2" s="44">
        <f t="shared" si="1"/>
        <v>0</v>
      </c>
      <c r="U2" s="43">
        <f t="shared" si="1"/>
        <v>0</v>
      </c>
      <c r="V2" s="43">
        <f t="shared" si="1"/>
        <v>0</v>
      </c>
      <c r="W2" s="43">
        <f t="shared" si="1"/>
        <v>0</v>
      </c>
      <c r="X2" s="43">
        <f t="shared" si="1"/>
        <v>0</v>
      </c>
      <c r="Y2" s="43">
        <f t="shared" si="1"/>
        <v>0</v>
      </c>
    </row>
    <row r="3">
      <c r="A3" s="38" t="s">
        <v>28</v>
      </c>
    </row>
    <row r="4">
      <c r="A4" s="8" t="s">
        <v>29</v>
      </c>
    </row>
    <row r="5">
      <c r="A5" s="8" t="s">
        <v>30</v>
      </c>
      <c r="H5" s="8"/>
    </row>
    <row r="6">
      <c r="A6" s="18" t="s">
        <v>31</v>
      </c>
      <c r="B6" s="18"/>
      <c r="C6" s="18"/>
      <c r="D6" s="18"/>
      <c r="E6" s="39"/>
      <c r="F6" s="39"/>
      <c r="G6" s="18"/>
      <c r="H6" s="1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34" t="s">
        <v>32</v>
      </c>
      <c r="B7" s="35">
        <f t="shared" ref="B7:Y7" si="2">IFERROR(10*B8*B10/(B9+1)+10*(B10-1)*((B9+1)/(2*B8)), 2*B11*(2*B10-1))</f>
        <v>0</v>
      </c>
      <c r="C7" s="36">
        <f t="shared" si="2"/>
        <v>0</v>
      </c>
      <c r="D7" s="35">
        <f t="shared" si="2"/>
        <v>0</v>
      </c>
      <c r="E7" s="35">
        <f t="shared" si="2"/>
        <v>0</v>
      </c>
      <c r="F7" s="35">
        <f t="shared" si="2"/>
        <v>0</v>
      </c>
      <c r="G7" s="35">
        <f t="shared" si="2"/>
        <v>0</v>
      </c>
      <c r="H7" s="36">
        <f t="shared" si="2"/>
        <v>0</v>
      </c>
      <c r="I7" s="36">
        <f t="shared" si="2"/>
        <v>0</v>
      </c>
      <c r="J7" s="37">
        <f t="shared" si="2"/>
        <v>0</v>
      </c>
      <c r="K7" s="35">
        <f t="shared" si="2"/>
        <v>0</v>
      </c>
      <c r="L7" s="35">
        <f t="shared" si="2"/>
        <v>0</v>
      </c>
      <c r="M7" s="35">
        <f t="shared" si="2"/>
        <v>0</v>
      </c>
      <c r="N7" s="35">
        <f t="shared" si="2"/>
        <v>0</v>
      </c>
      <c r="O7" s="35">
        <f t="shared" si="2"/>
        <v>0</v>
      </c>
      <c r="P7" s="35">
        <f t="shared" si="2"/>
        <v>0</v>
      </c>
      <c r="Q7" s="35">
        <f t="shared" si="2"/>
        <v>0</v>
      </c>
      <c r="R7" s="35">
        <f t="shared" si="2"/>
        <v>0</v>
      </c>
      <c r="S7" s="35">
        <f t="shared" si="2"/>
        <v>0</v>
      </c>
      <c r="T7" s="36">
        <f t="shared" si="2"/>
        <v>0</v>
      </c>
      <c r="U7" s="35">
        <f t="shared" si="2"/>
        <v>0</v>
      </c>
      <c r="V7" s="35">
        <f t="shared" si="2"/>
        <v>0</v>
      </c>
      <c r="W7" s="35">
        <f t="shared" si="2"/>
        <v>0</v>
      </c>
      <c r="X7" s="35">
        <f t="shared" si="2"/>
        <v>0</v>
      </c>
      <c r="Y7" s="35">
        <f t="shared" si="2"/>
        <v>0</v>
      </c>
    </row>
    <row r="8">
      <c r="A8" s="38" t="s">
        <v>28</v>
      </c>
    </row>
    <row r="9">
      <c r="A9" s="8" t="s">
        <v>29</v>
      </c>
    </row>
    <row r="10">
      <c r="A10" s="8" t="s">
        <v>30</v>
      </c>
    </row>
    <row r="11">
      <c r="A11" s="18" t="s">
        <v>31</v>
      </c>
      <c r="B11" s="18"/>
      <c r="C11" s="18"/>
      <c r="D11" s="18"/>
      <c r="E11" s="39"/>
      <c r="F11" s="39"/>
      <c r="G11" s="18"/>
      <c r="H11" s="1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34" t="s">
        <v>33</v>
      </c>
      <c r="B12" s="35">
        <f t="shared" ref="B12:Y12" si="3">IFERROR(10*B13*B15/(B14+1)+10*(B15-1)*((B14+1)/(2*B13)), 2*B16*(2*B15-1))</f>
        <v>0</v>
      </c>
      <c r="C12" s="36">
        <f t="shared" si="3"/>
        <v>0</v>
      </c>
      <c r="D12" s="35">
        <f t="shared" si="3"/>
        <v>0</v>
      </c>
      <c r="E12" s="35">
        <f t="shared" si="3"/>
        <v>0</v>
      </c>
      <c r="F12" s="35">
        <f t="shared" si="3"/>
        <v>0</v>
      </c>
      <c r="G12" s="35">
        <f t="shared" si="3"/>
        <v>0</v>
      </c>
      <c r="H12" s="36">
        <f t="shared" si="3"/>
        <v>0</v>
      </c>
      <c r="I12" s="36">
        <f t="shared" si="3"/>
        <v>0</v>
      </c>
      <c r="J12" s="37">
        <f t="shared" si="3"/>
        <v>0</v>
      </c>
      <c r="K12" s="35">
        <f t="shared" si="3"/>
        <v>0</v>
      </c>
      <c r="L12" s="35">
        <f t="shared" si="3"/>
        <v>0</v>
      </c>
      <c r="M12" s="35">
        <f t="shared" si="3"/>
        <v>0</v>
      </c>
      <c r="N12" s="35">
        <f t="shared" si="3"/>
        <v>0</v>
      </c>
      <c r="O12" s="35">
        <f t="shared" si="3"/>
        <v>0</v>
      </c>
      <c r="P12" s="35">
        <f t="shared" si="3"/>
        <v>0</v>
      </c>
      <c r="Q12" s="35">
        <f t="shared" si="3"/>
        <v>0</v>
      </c>
      <c r="R12" s="35">
        <f t="shared" si="3"/>
        <v>0</v>
      </c>
      <c r="S12" s="35">
        <f t="shared" si="3"/>
        <v>0</v>
      </c>
      <c r="T12" s="36">
        <f t="shared" si="3"/>
        <v>0</v>
      </c>
      <c r="U12" s="35">
        <f t="shared" si="3"/>
        <v>0</v>
      </c>
      <c r="V12" s="35">
        <f t="shared" si="3"/>
        <v>0</v>
      </c>
      <c r="W12" s="35">
        <f t="shared" si="3"/>
        <v>0</v>
      </c>
      <c r="X12" s="35">
        <f t="shared" si="3"/>
        <v>0</v>
      </c>
      <c r="Y12" s="35">
        <f t="shared" si="3"/>
        <v>0</v>
      </c>
    </row>
    <row r="13">
      <c r="A13" s="38" t="s">
        <v>28</v>
      </c>
    </row>
    <row r="14">
      <c r="A14" s="8" t="s">
        <v>29</v>
      </c>
    </row>
    <row r="15">
      <c r="A15" s="8" t="s">
        <v>30</v>
      </c>
    </row>
    <row r="16">
      <c r="A16" s="18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34" t="s">
        <v>34</v>
      </c>
      <c r="B17" s="35">
        <f t="shared" ref="B17:Y17" si="4">IFERROR(10*B18*B20/(B19+1)+10*(B20-1)*((B19+1)/(2*B18)), 2*B21*(2*B20-1))</f>
        <v>0</v>
      </c>
      <c r="C17" s="36">
        <f t="shared" si="4"/>
        <v>0</v>
      </c>
      <c r="D17" s="35">
        <f t="shared" si="4"/>
        <v>0</v>
      </c>
      <c r="E17" s="35">
        <f t="shared" si="4"/>
        <v>0</v>
      </c>
      <c r="F17" s="35">
        <f t="shared" si="4"/>
        <v>0</v>
      </c>
      <c r="G17" s="35">
        <f t="shared" si="4"/>
        <v>0</v>
      </c>
      <c r="H17" s="36">
        <f t="shared" si="4"/>
        <v>0</v>
      </c>
      <c r="I17" s="36">
        <f t="shared" si="4"/>
        <v>0</v>
      </c>
      <c r="J17" s="37">
        <f t="shared" si="4"/>
        <v>0</v>
      </c>
      <c r="K17" s="35">
        <f t="shared" si="4"/>
        <v>0</v>
      </c>
      <c r="L17" s="35">
        <f t="shared" si="4"/>
        <v>0</v>
      </c>
      <c r="M17" s="35">
        <f t="shared" si="4"/>
        <v>0</v>
      </c>
      <c r="N17" s="35">
        <f t="shared" si="4"/>
        <v>0</v>
      </c>
      <c r="O17" s="35">
        <f t="shared" si="4"/>
        <v>0</v>
      </c>
      <c r="P17" s="35">
        <f t="shared" si="4"/>
        <v>0</v>
      </c>
      <c r="Q17" s="35">
        <f t="shared" si="4"/>
        <v>0</v>
      </c>
      <c r="R17" s="35">
        <f t="shared" si="4"/>
        <v>0</v>
      </c>
      <c r="S17" s="35">
        <f t="shared" si="4"/>
        <v>0</v>
      </c>
      <c r="T17" s="36">
        <f t="shared" si="4"/>
        <v>0</v>
      </c>
      <c r="U17" s="35">
        <f t="shared" si="4"/>
        <v>0</v>
      </c>
      <c r="V17" s="35">
        <f t="shared" si="4"/>
        <v>0</v>
      </c>
      <c r="W17" s="35">
        <f t="shared" si="4"/>
        <v>0</v>
      </c>
      <c r="X17" s="35">
        <f t="shared" si="4"/>
        <v>0</v>
      </c>
      <c r="Y17" s="35">
        <f t="shared" si="4"/>
        <v>0</v>
      </c>
    </row>
    <row r="18">
      <c r="A18" s="38" t="s">
        <v>28</v>
      </c>
    </row>
    <row r="19">
      <c r="A19" s="8" t="s">
        <v>29</v>
      </c>
    </row>
    <row r="20">
      <c r="A20" s="8" t="s">
        <v>30</v>
      </c>
      <c r="H20" s="8"/>
    </row>
    <row r="21">
      <c r="A21" s="18" t="s">
        <v>31</v>
      </c>
      <c r="B21" s="18"/>
      <c r="C21" s="18"/>
      <c r="D21" s="18"/>
      <c r="E21" s="39"/>
      <c r="F21" s="39"/>
      <c r="G21" s="18"/>
      <c r="H21" s="1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34" t="s">
        <v>35</v>
      </c>
      <c r="B22" s="35">
        <f t="shared" ref="B22:Y22" si="5">IFERROR(10*B23*B25/(B24+1)+10*(B25-1)*((B24+1)/(2*B23)), 2*B26*(2*B25-1))</f>
        <v>0</v>
      </c>
      <c r="C22" s="36">
        <f t="shared" si="5"/>
        <v>0</v>
      </c>
      <c r="D22" s="35">
        <f t="shared" si="5"/>
        <v>0</v>
      </c>
      <c r="E22" s="35">
        <f t="shared" si="5"/>
        <v>0</v>
      </c>
      <c r="F22" s="35">
        <f t="shared" si="5"/>
        <v>0</v>
      </c>
      <c r="G22" s="35">
        <f t="shared" si="5"/>
        <v>0</v>
      </c>
      <c r="H22" s="36">
        <f t="shared" si="5"/>
        <v>0</v>
      </c>
      <c r="I22" s="36">
        <f t="shared" si="5"/>
        <v>0</v>
      </c>
      <c r="J22" s="37">
        <f t="shared" si="5"/>
        <v>0</v>
      </c>
      <c r="K22" s="35">
        <f t="shared" si="5"/>
        <v>0</v>
      </c>
      <c r="L22" s="35">
        <f t="shared" si="5"/>
        <v>0</v>
      </c>
      <c r="M22" s="35">
        <f t="shared" si="5"/>
        <v>0</v>
      </c>
      <c r="N22" s="35">
        <f t="shared" si="5"/>
        <v>0</v>
      </c>
      <c r="O22" s="35">
        <f t="shared" si="5"/>
        <v>0</v>
      </c>
      <c r="P22" s="35">
        <f t="shared" si="5"/>
        <v>0</v>
      </c>
      <c r="Q22" s="35">
        <f t="shared" si="5"/>
        <v>0</v>
      </c>
      <c r="R22" s="35">
        <f t="shared" si="5"/>
        <v>0</v>
      </c>
      <c r="S22" s="35">
        <f t="shared" si="5"/>
        <v>0</v>
      </c>
      <c r="T22" s="36">
        <f t="shared" si="5"/>
        <v>0</v>
      </c>
      <c r="U22" s="35">
        <f t="shared" si="5"/>
        <v>0</v>
      </c>
      <c r="V22" s="35">
        <f t="shared" si="5"/>
        <v>0</v>
      </c>
      <c r="W22" s="35">
        <f t="shared" si="5"/>
        <v>0</v>
      </c>
      <c r="X22" s="35">
        <f t="shared" si="5"/>
        <v>0</v>
      </c>
      <c r="Y22" s="35">
        <f t="shared" si="5"/>
        <v>0</v>
      </c>
    </row>
    <row r="23">
      <c r="A23" s="38" t="s">
        <v>28</v>
      </c>
    </row>
    <row r="24">
      <c r="A24" s="8" t="s">
        <v>29</v>
      </c>
    </row>
    <row r="25">
      <c r="A25" s="8" t="s">
        <v>30</v>
      </c>
      <c r="H25" s="8"/>
    </row>
    <row r="26">
      <c r="A26" s="18" t="s">
        <v>31</v>
      </c>
      <c r="B26" s="18"/>
      <c r="C26" s="18"/>
      <c r="D26" s="18"/>
      <c r="E26" s="39"/>
      <c r="F26" s="39"/>
      <c r="G26" s="18"/>
      <c r="H26" s="1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4" t="s">
        <v>36</v>
      </c>
      <c r="B27" s="35">
        <f t="shared" ref="B27:Y27" si="6">IFERROR(10*B28*B30/(B29+1)+10*(B30-1)*((B29+1)/(2*B28)), 2*B31*(2*B30-1))</f>
        <v>0</v>
      </c>
      <c r="C27" s="36">
        <f t="shared" si="6"/>
        <v>0</v>
      </c>
      <c r="D27" s="35">
        <f t="shared" si="6"/>
        <v>0</v>
      </c>
      <c r="E27" s="35">
        <f t="shared" si="6"/>
        <v>0</v>
      </c>
      <c r="F27" s="35">
        <f t="shared" si="6"/>
        <v>0</v>
      </c>
      <c r="G27" s="35">
        <f t="shared" si="6"/>
        <v>0</v>
      </c>
      <c r="H27" s="36">
        <f t="shared" si="6"/>
        <v>0</v>
      </c>
      <c r="I27" s="36">
        <f t="shared" si="6"/>
        <v>0</v>
      </c>
      <c r="J27" s="37">
        <f t="shared" si="6"/>
        <v>0</v>
      </c>
      <c r="K27" s="35">
        <f t="shared" si="6"/>
        <v>0</v>
      </c>
      <c r="L27" s="35">
        <f t="shared" si="6"/>
        <v>0</v>
      </c>
      <c r="M27" s="35">
        <f t="shared" si="6"/>
        <v>0</v>
      </c>
      <c r="N27" s="35">
        <f t="shared" si="6"/>
        <v>0</v>
      </c>
      <c r="O27" s="35">
        <f t="shared" si="6"/>
        <v>0</v>
      </c>
      <c r="P27" s="35">
        <f t="shared" si="6"/>
        <v>0</v>
      </c>
      <c r="Q27" s="35">
        <f t="shared" si="6"/>
        <v>0</v>
      </c>
      <c r="R27" s="35">
        <f t="shared" si="6"/>
        <v>0</v>
      </c>
      <c r="S27" s="35">
        <f t="shared" si="6"/>
        <v>0</v>
      </c>
      <c r="T27" s="36">
        <f t="shared" si="6"/>
        <v>0</v>
      </c>
      <c r="U27" s="35">
        <f t="shared" si="6"/>
        <v>0</v>
      </c>
      <c r="V27" s="35">
        <f t="shared" si="6"/>
        <v>0</v>
      </c>
      <c r="W27" s="35">
        <f t="shared" si="6"/>
        <v>0</v>
      </c>
      <c r="X27" s="35">
        <f t="shared" si="6"/>
        <v>0</v>
      </c>
      <c r="Y27" s="35">
        <f t="shared" si="6"/>
        <v>0</v>
      </c>
    </row>
    <row r="28">
      <c r="A28" s="38" t="s">
        <v>28</v>
      </c>
    </row>
    <row r="29">
      <c r="A29" s="8" t="s">
        <v>29</v>
      </c>
    </row>
    <row r="30">
      <c r="A30" s="8" t="s">
        <v>30</v>
      </c>
      <c r="H30" s="8"/>
    </row>
    <row r="31">
      <c r="A31" s="18" t="s">
        <v>31</v>
      </c>
      <c r="B31" s="18"/>
      <c r="C31" s="18"/>
      <c r="D31" s="18"/>
      <c r="E31" s="39"/>
      <c r="F31" s="39"/>
      <c r="G31" s="18"/>
      <c r="H31" s="1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4" t="s">
        <v>37</v>
      </c>
      <c r="B32" s="35">
        <f t="shared" ref="B32:Y32" si="7">IFERROR(10*B33*B35/(B34+1)+10*(B35-1)*((B34+1)/(2*B33)), 2*B36*(2*B35-1))</f>
        <v>0</v>
      </c>
      <c r="C32" s="36">
        <f t="shared" si="7"/>
        <v>0</v>
      </c>
      <c r="D32" s="35">
        <f t="shared" si="7"/>
        <v>0</v>
      </c>
      <c r="E32" s="35">
        <f t="shared" si="7"/>
        <v>0</v>
      </c>
      <c r="F32" s="35">
        <f t="shared" si="7"/>
        <v>0</v>
      </c>
      <c r="G32" s="35">
        <f t="shared" si="7"/>
        <v>0</v>
      </c>
      <c r="H32" s="36">
        <f t="shared" si="7"/>
        <v>0</v>
      </c>
      <c r="I32" s="36">
        <f t="shared" si="7"/>
        <v>0</v>
      </c>
      <c r="J32" s="37">
        <f t="shared" si="7"/>
        <v>0</v>
      </c>
      <c r="K32" s="35">
        <f t="shared" si="7"/>
        <v>0</v>
      </c>
      <c r="L32" s="35">
        <f t="shared" si="7"/>
        <v>0</v>
      </c>
      <c r="M32" s="35">
        <f t="shared" si="7"/>
        <v>0</v>
      </c>
      <c r="N32" s="35">
        <f t="shared" si="7"/>
        <v>0</v>
      </c>
      <c r="O32" s="35">
        <f t="shared" si="7"/>
        <v>0</v>
      </c>
      <c r="P32" s="35">
        <f t="shared" si="7"/>
        <v>0</v>
      </c>
      <c r="Q32" s="35">
        <f t="shared" si="7"/>
        <v>0</v>
      </c>
      <c r="R32" s="35">
        <f t="shared" si="7"/>
        <v>0</v>
      </c>
      <c r="S32" s="35">
        <f t="shared" si="7"/>
        <v>0</v>
      </c>
      <c r="T32" s="36">
        <f t="shared" si="7"/>
        <v>0</v>
      </c>
      <c r="U32" s="35">
        <f t="shared" si="7"/>
        <v>0</v>
      </c>
      <c r="V32" s="35">
        <f t="shared" si="7"/>
        <v>0</v>
      </c>
      <c r="W32" s="35">
        <f t="shared" si="7"/>
        <v>0</v>
      </c>
      <c r="X32" s="35">
        <f t="shared" si="7"/>
        <v>0</v>
      </c>
      <c r="Y32" s="35">
        <f t="shared" si="7"/>
        <v>0</v>
      </c>
    </row>
    <row r="33">
      <c r="A33" s="38" t="s">
        <v>28</v>
      </c>
    </row>
    <row r="34">
      <c r="A34" s="8" t="s">
        <v>29</v>
      </c>
    </row>
    <row r="35">
      <c r="A35" s="8" t="s">
        <v>30</v>
      </c>
      <c r="H35" s="8"/>
    </row>
    <row r="36">
      <c r="A36" s="18" t="s">
        <v>31</v>
      </c>
      <c r="B36" s="18"/>
      <c r="C36" s="18"/>
      <c r="D36" s="18"/>
      <c r="E36" s="39"/>
      <c r="F36" s="39"/>
      <c r="G36" s="18"/>
      <c r="H36" s="1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4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8"/>
    </row>
    <row r="40">
      <c r="A40" s="42"/>
    </row>
    <row r="41">
      <c r="A41" s="8"/>
      <c r="B41" s="8"/>
      <c r="C41" s="8"/>
      <c r="D41" s="8"/>
      <c r="G41" s="8"/>
      <c r="H41" s="8"/>
    </row>
    <row r="42">
      <c r="A42" s="3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8"/>
    </row>
    <row r="45">
      <c r="A45" s="42"/>
    </row>
    <row r="46">
      <c r="A46" s="8"/>
      <c r="B46" s="8"/>
      <c r="C46" s="8"/>
      <c r="D46" s="8"/>
      <c r="G46" s="8"/>
      <c r="H46" s="8"/>
    </row>
    <row r="47">
      <c r="A47" s="3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8"/>
    </row>
    <row r="50">
      <c r="A50" s="42"/>
    </row>
    <row r="51">
      <c r="A51" s="8"/>
      <c r="B51" s="8"/>
      <c r="C51" s="8"/>
      <c r="D51" s="8"/>
      <c r="G51" s="8"/>
      <c r="H51" s="8"/>
    </row>
    <row r="52">
      <c r="A52" s="34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8"/>
    </row>
    <row r="55">
      <c r="A55" s="42"/>
    </row>
    <row r="56">
      <c r="A56" s="8"/>
      <c r="B56" s="8"/>
      <c r="C56" s="8"/>
      <c r="D56" s="8"/>
      <c r="G56" s="8"/>
      <c r="H56" s="8"/>
    </row>
    <row r="57">
      <c r="A57" s="34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8"/>
    </row>
    <row r="60">
      <c r="A60" s="42"/>
    </row>
    <row r="61">
      <c r="A61" s="8"/>
      <c r="B61" s="8"/>
      <c r="C61" s="8"/>
      <c r="D61" s="8"/>
      <c r="G61" s="8"/>
      <c r="H61" s="8"/>
    </row>
    <row r="62">
      <c r="A62" s="3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8"/>
    </row>
    <row r="65">
      <c r="A65" s="42"/>
    </row>
    <row r="66">
      <c r="A66" s="8"/>
      <c r="B66" s="8"/>
      <c r="C66" s="8"/>
      <c r="D66" s="8"/>
      <c r="G66" s="8"/>
      <c r="H66" s="8"/>
    </row>
    <row r="67">
      <c r="A67" s="34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8"/>
    </row>
    <row r="70">
      <c r="A70" s="42"/>
    </row>
    <row r="71">
      <c r="A71" s="8"/>
      <c r="B71" s="8"/>
      <c r="C71" s="8"/>
      <c r="D71" s="8"/>
      <c r="G71" s="8"/>
      <c r="H71" s="8"/>
    </row>
    <row r="72">
      <c r="A72" s="3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8"/>
    </row>
    <row r="75">
      <c r="A75" s="42"/>
    </row>
    <row r="76">
      <c r="A76" s="8"/>
      <c r="B76" s="8"/>
      <c r="C76" s="8"/>
      <c r="D76" s="8"/>
      <c r="G76" s="8"/>
      <c r="H76" s="8"/>
    </row>
    <row r="77">
      <c r="A77" s="3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8"/>
    </row>
    <row r="80">
      <c r="A80" s="42"/>
    </row>
    <row r="81">
      <c r="A81" s="8"/>
      <c r="B81" s="8"/>
      <c r="C81" s="8"/>
      <c r="D81" s="8"/>
      <c r="G81" s="8"/>
      <c r="H81" s="8"/>
    </row>
  </sheetData>
  <conditionalFormatting sqref="A2:Y2 A7:Y7 A12:Y12 A17:Y17 A22:Y22 A27:Y27 A32:Y32 A37:Y37 A42:Y42 A47:Y47 A52:Y52 A57:Y57 A63:Y63 A67:Y67 A72:Y72 A75:Y75 A77:Y77">
    <cfRule type="cellIs" dxfId="1" priority="1" operator="lessThan">
      <formula>0</formula>
    </cfRule>
  </conditionalFormatting>
  <conditionalFormatting sqref="A2:Y2 A7:Y7 A12:Y12 A17:Y17 A22:Y22 A27:Y27 A32:Y32 A37:Y37 A42:Y42 A47:Y47 A52:Y52 A57:Y57 A62:Y62 A67:Y67 A72:Y72 A77:Y77">
    <cfRule type="cellIs" dxfId="2" priority="2" operator="greaterThan">
      <formula>0</formula>
    </cfRule>
  </conditionalFormatting>
  <conditionalFormatting sqref="A2:Y2 A7:Y7 A12:Y12 A17:Y17 A22:Y22 A27:Y27 A32:Y32 A37:Y37 A42:Y42 A47:Y47 A52:Y52 A57:Y57 A62:Y63 A67:Y67 A72:Y72 A75:Y75 A77:Y77">
    <cfRule type="cellIs" dxfId="3" priority="3" operator="equal">
      <formula>0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33" t="str">
        <f>'Total Score'!B1</f>
        <v>Llama</v>
      </c>
      <c r="C1" s="33" t="str">
        <f>'Total Score'!C1</f>
        <v>Nic</v>
      </c>
      <c r="D1" s="33" t="str">
        <f>'Total Score'!D1</f>
        <v>Taank</v>
      </c>
      <c r="E1" s="33" t="str">
        <f>'Total Score'!E1</f>
        <v>Elephant</v>
      </c>
      <c r="F1" s="33" t="str">
        <f>'Total Score'!F1</f>
        <v>Jorg</v>
      </c>
      <c r="G1" s="33" t="str">
        <f>'Total Score'!G1</f>
        <v>Deadlock</v>
      </c>
      <c r="H1" s="33" t="str">
        <f>'Total Score'!H1</f>
        <v>Veil</v>
      </c>
      <c r="I1" s="33" t="str">
        <f>'Total Score'!I1</f>
        <v>Arch</v>
      </c>
      <c r="J1" s="33" t="str">
        <f>'Total Score'!J1</f>
        <v>Winter</v>
      </c>
      <c r="K1" s="33" t="str">
        <f>'Total Score'!K1</f>
        <v/>
      </c>
      <c r="L1" s="33" t="str">
        <f>'Total Score'!L1</f>
        <v/>
      </c>
      <c r="M1" s="33" t="str">
        <f>'Total Score'!M1</f>
        <v/>
      </c>
      <c r="N1" s="33" t="str">
        <f>'Total Score'!N1</f>
        <v/>
      </c>
      <c r="O1" s="33" t="str">
        <f>'Total Score'!O1</f>
        <v/>
      </c>
      <c r="P1" s="33" t="str">
        <f>'Total Score'!P1</f>
        <v/>
      </c>
      <c r="Q1" s="33" t="str">
        <f>'Total Score'!Q1</f>
        <v/>
      </c>
      <c r="R1" s="33" t="str">
        <f>'Total Score'!R1</f>
        <v/>
      </c>
      <c r="S1" s="33" t="str">
        <f>'Total Score'!S1</f>
        <v/>
      </c>
      <c r="T1" s="33" t="str">
        <f>'Total Score'!T1</f>
        <v/>
      </c>
      <c r="U1" s="33" t="str">
        <f>'Total Score'!U1</f>
        <v/>
      </c>
      <c r="V1" s="33" t="str">
        <f>'Total Score'!V1</f>
        <v/>
      </c>
      <c r="W1" s="33" t="str">
        <f>'Total Score'!W1</f>
        <v/>
      </c>
      <c r="X1" s="33" t="str">
        <f>'Total Score'!X1</f>
        <v/>
      </c>
      <c r="Y1" s="33" t="str">
        <f>'Total Score'!Y1</f>
        <v/>
      </c>
    </row>
    <row r="2">
      <c r="A2" s="34" t="s">
        <v>27</v>
      </c>
      <c r="B2" s="43">
        <f t="shared" ref="B2:Y2" si="1">IFERROR(10*B3*B5/(B4+1)+10*(B5-1)*((B4+1)/(2*B3)), 2*B6*(2*B5-1))</f>
        <v>0</v>
      </c>
      <c r="C2" s="44">
        <f t="shared" si="1"/>
        <v>0</v>
      </c>
      <c r="D2" s="43">
        <f t="shared" si="1"/>
        <v>0</v>
      </c>
      <c r="E2" s="43">
        <f t="shared" si="1"/>
        <v>0</v>
      </c>
      <c r="F2" s="43">
        <f t="shared" si="1"/>
        <v>0</v>
      </c>
      <c r="G2" s="43">
        <f t="shared" si="1"/>
        <v>0</v>
      </c>
      <c r="H2" s="44">
        <f t="shared" si="1"/>
        <v>0</v>
      </c>
      <c r="I2" s="44">
        <f t="shared" si="1"/>
        <v>0</v>
      </c>
      <c r="J2" s="45">
        <f t="shared" si="1"/>
        <v>0</v>
      </c>
      <c r="K2" s="43">
        <f t="shared" si="1"/>
        <v>0</v>
      </c>
      <c r="L2" s="43">
        <f t="shared" si="1"/>
        <v>0</v>
      </c>
      <c r="M2" s="43">
        <f t="shared" si="1"/>
        <v>0</v>
      </c>
      <c r="N2" s="43">
        <f t="shared" si="1"/>
        <v>0</v>
      </c>
      <c r="O2" s="43">
        <f t="shared" si="1"/>
        <v>0</v>
      </c>
      <c r="P2" s="43">
        <f t="shared" si="1"/>
        <v>0</v>
      </c>
      <c r="Q2" s="43">
        <f t="shared" si="1"/>
        <v>0</v>
      </c>
      <c r="R2" s="43">
        <f t="shared" si="1"/>
        <v>0</v>
      </c>
      <c r="S2" s="43">
        <f t="shared" si="1"/>
        <v>0</v>
      </c>
      <c r="T2" s="44">
        <f t="shared" si="1"/>
        <v>0</v>
      </c>
      <c r="U2" s="43">
        <f t="shared" si="1"/>
        <v>0</v>
      </c>
      <c r="V2" s="43">
        <f t="shared" si="1"/>
        <v>0</v>
      </c>
      <c r="W2" s="43">
        <f t="shared" si="1"/>
        <v>0</v>
      </c>
      <c r="X2" s="43">
        <f t="shared" si="1"/>
        <v>0</v>
      </c>
      <c r="Y2" s="43">
        <f t="shared" si="1"/>
        <v>0</v>
      </c>
    </row>
    <row r="3">
      <c r="A3" s="38" t="s">
        <v>28</v>
      </c>
    </row>
    <row r="4">
      <c r="A4" s="8" t="s">
        <v>29</v>
      </c>
    </row>
    <row r="5">
      <c r="A5" s="8" t="s">
        <v>30</v>
      </c>
      <c r="H5" s="8"/>
    </row>
    <row r="6">
      <c r="A6" s="18" t="s">
        <v>31</v>
      </c>
      <c r="B6" s="18"/>
      <c r="C6" s="18"/>
      <c r="D6" s="18"/>
      <c r="E6" s="39"/>
      <c r="F6" s="39"/>
      <c r="G6" s="18"/>
      <c r="H6" s="1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34" t="s">
        <v>32</v>
      </c>
      <c r="B7" s="35">
        <f t="shared" ref="B7:Y7" si="2">IFERROR(10*B8*B10/(B9+1)+10*(B10-1)*((B9+1)/(2*B8)), 2*B11*(2*B10-1))</f>
        <v>0</v>
      </c>
      <c r="C7" s="36">
        <f t="shared" si="2"/>
        <v>0</v>
      </c>
      <c r="D7" s="35">
        <f t="shared" si="2"/>
        <v>0</v>
      </c>
      <c r="E7" s="35">
        <f t="shared" si="2"/>
        <v>0</v>
      </c>
      <c r="F7" s="35">
        <f t="shared" si="2"/>
        <v>0</v>
      </c>
      <c r="G7" s="35">
        <f t="shared" si="2"/>
        <v>0</v>
      </c>
      <c r="H7" s="36">
        <f t="shared" si="2"/>
        <v>0</v>
      </c>
      <c r="I7" s="36">
        <f t="shared" si="2"/>
        <v>0</v>
      </c>
      <c r="J7" s="37">
        <f t="shared" si="2"/>
        <v>0</v>
      </c>
      <c r="K7" s="35">
        <f t="shared" si="2"/>
        <v>0</v>
      </c>
      <c r="L7" s="35">
        <f t="shared" si="2"/>
        <v>0</v>
      </c>
      <c r="M7" s="35">
        <f t="shared" si="2"/>
        <v>0</v>
      </c>
      <c r="N7" s="35">
        <f t="shared" si="2"/>
        <v>0</v>
      </c>
      <c r="O7" s="35">
        <f t="shared" si="2"/>
        <v>0</v>
      </c>
      <c r="P7" s="35">
        <f t="shared" si="2"/>
        <v>0</v>
      </c>
      <c r="Q7" s="35">
        <f t="shared" si="2"/>
        <v>0</v>
      </c>
      <c r="R7" s="35">
        <f t="shared" si="2"/>
        <v>0</v>
      </c>
      <c r="S7" s="35">
        <f t="shared" si="2"/>
        <v>0</v>
      </c>
      <c r="T7" s="36">
        <f t="shared" si="2"/>
        <v>0</v>
      </c>
      <c r="U7" s="35">
        <f t="shared" si="2"/>
        <v>0</v>
      </c>
      <c r="V7" s="35">
        <f t="shared" si="2"/>
        <v>0</v>
      </c>
      <c r="W7" s="35">
        <f t="shared" si="2"/>
        <v>0</v>
      </c>
      <c r="X7" s="35">
        <f t="shared" si="2"/>
        <v>0</v>
      </c>
      <c r="Y7" s="35">
        <f t="shared" si="2"/>
        <v>0</v>
      </c>
    </row>
    <row r="8">
      <c r="A8" s="38" t="s">
        <v>28</v>
      </c>
    </row>
    <row r="9">
      <c r="A9" s="8" t="s">
        <v>29</v>
      </c>
    </row>
    <row r="10">
      <c r="A10" s="8" t="s">
        <v>30</v>
      </c>
    </row>
    <row r="11">
      <c r="A11" s="18" t="s">
        <v>31</v>
      </c>
      <c r="B11" s="18"/>
      <c r="C11" s="18"/>
      <c r="D11" s="18"/>
      <c r="E11" s="39"/>
      <c r="F11" s="39"/>
      <c r="G11" s="18"/>
      <c r="H11" s="1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34" t="s">
        <v>33</v>
      </c>
      <c r="B12" s="35">
        <f t="shared" ref="B12:Y12" si="3">IFERROR(10*B13*B15/(B14+1)+10*(B15-1)*((B14+1)/(2*B13)), 2*B16*(2*B15-1))</f>
        <v>0</v>
      </c>
      <c r="C12" s="36">
        <f t="shared" si="3"/>
        <v>0</v>
      </c>
      <c r="D12" s="35">
        <f t="shared" si="3"/>
        <v>0</v>
      </c>
      <c r="E12" s="35">
        <f t="shared" si="3"/>
        <v>0</v>
      </c>
      <c r="F12" s="35">
        <f t="shared" si="3"/>
        <v>0</v>
      </c>
      <c r="G12" s="35">
        <f t="shared" si="3"/>
        <v>0</v>
      </c>
      <c r="H12" s="36">
        <f t="shared" si="3"/>
        <v>0</v>
      </c>
      <c r="I12" s="36">
        <f t="shared" si="3"/>
        <v>0</v>
      </c>
      <c r="J12" s="37">
        <f t="shared" si="3"/>
        <v>0</v>
      </c>
      <c r="K12" s="35">
        <f t="shared" si="3"/>
        <v>0</v>
      </c>
      <c r="L12" s="35">
        <f t="shared" si="3"/>
        <v>0</v>
      </c>
      <c r="M12" s="35">
        <f t="shared" si="3"/>
        <v>0</v>
      </c>
      <c r="N12" s="35">
        <f t="shared" si="3"/>
        <v>0</v>
      </c>
      <c r="O12" s="35">
        <f t="shared" si="3"/>
        <v>0</v>
      </c>
      <c r="P12" s="35">
        <f t="shared" si="3"/>
        <v>0</v>
      </c>
      <c r="Q12" s="35">
        <f t="shared" si="3"/>
        <v>0</v>
      </c>
      <c r="R12" s="35">
        <f t="shared" si="3"/>
        <v>0</v>
      </c>
      <c r="S12" s="35">
        <f t="shared" si="3"/>
        <v>0</v>
      </c>
      <c r="T12" s="36">
        <f t="shared" si="3"/>
        <v>0</v>
      </c>
      <c r="U12" s="35">
        <f t="shared" si="3"/>
        <v>0</v>
      </c>
      <c r="V12" s="35">
        <f t="shared" si="3"/>
        <v>0</v>
      </c>
      <c r="W12" s="35">
        <f t="shared" si="3"/>
        <v>0</v>
      </c>
      <c r="X12" s="35">
        <f t="shared" si="3"/>
        <v>0</v>
      </c>
      <c r="Y12" s="35">
        <f t="shared" si="3"/>
        <v>0</v>
      </c>
    </row>
    <row r="13">
      <c r="A13" s="38" t="s">
        <v>28</v>
      </c>
    </row>
    <row r="14">
      <c r="A14" s="8" t="s">
        <v>29</v>
      </c>
    </row>
    <row r="15">
      <c r="A15" s="8" t="s">
        <v>30</v>
      </c>
    </row>
    <row r="16">
      <c r="A16" s="18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34" t="s">
        <v>34</v>
      </c>
      <c r="B17" s="35">
        <f t="shared" ref="B17:Y17" si="4">IFERROR(10*B18*B20/(B19+1)+10*(B20-1)*((B19+1)/(2*B18)), 2*B21*(2*B20-1))</f>
        <v>0</v>
      </c>
      <c r="C17" s="36">
        <f t="shared" si="4"/>
        <v>0</v>
      </c>
      <c r="D17" s="35">
        <f t="shared" si="4"/>
        <v>0</v>
      </c>
      <c r="E17" s="35">
        <f t="shared" si="4"/>
        <v>0</v>
      </c>
      <c r="F17" s="35">
        <f t="shared" si="4"/>
        <v>0</v>
      </c>
      <c r="G17" s="35">
        <f t="shared" si="4"/>
        <v>0</v>
      </c>
      <c r="H17" s="36">
        <f t="shared" si="4"/>
        <v>0</v>
      </c>
      <c r="I17" s="36">
        <f t="shared" si="4"/>
        <v>0</v>
      </c>
      <c r="J17" s="37">
        <f t="shared" si="4"/>
        <v>0</v>
      </c>
      <c r="K17" s="35">
        <f t="shared" si="4"/>
        <v>0</v>
      </c>
      <c r="L17" s="35">
        <f t="shared" si="4"/>
        <v>0</v>
      </c>
      <c r="M17" s="35">
        <f t="shared" si="4"/>
        <v>0</v>
      </c>
      <c r="N17" s="35">
        <f t="shared" si="4"/>
        <v>0</v>
      </c>
      <c r="O17" s="35">
        <f t="shared" si="4"/>
        <v>0</v>
      </c>
      <c r="P17" s="35">
        <f t="shared" si="4"/>
        <v>0</v>
      </c>
      <c r="Q17" s="35">
        <f t="shared" si="4"/>
        <v>0</v>
      </c>
      <c r="R17" s="35">
        <f t="shared" si="4"/>
        <v>0</v>
      </c>
      <c r="S17" s="35">
        <f t="shared" si="4"/>
        <v>0</v>
      </c>
      <c r="T17" s="36">
        <f t="shared" si="4"/>
        <v>0</v>
      </c>
      <c r="U17" s="35">
        <f t="shared" si="4"/>
        <v>0</v>
      </c>
      <c r="V17" s="35">
        <f t="shared" si="4"/>
        <v>0</v>
      </c>
      <c r="W17" s="35">
        <f t="shared" si="4"/>
        <v>0</v>
      </c>
      <c r="X17" s="35">
        <f t="shared" si="4"/>
        <v>0</v>
      </c>
      <c r="Y17" s="35">
        <f t="shared" si="4"/>
        <v>0</v>
      </c>
    </row>
    <row r="18">
      <c r="A18" s="38" t="s">
        <v>28</v>
      </c>
    </row>
    <row r="19">
      <c r="A19" s="8" t="s">
        <v>29</v>
      </c>
    </row>
    <row r="20">
      <c r="A20" s="8" t="s">
        <v>30</v>
      </c>
      <c r="H20" s="8"/>
    </row>
    <row r="21">
      <c r="A21" s="18" t="s">
        <v>31</v>
      </c>
      <c r="B21" s="18"/>
      <c r="C21" s="18"/>
      <c r="D21" s="18"/>
      <c r="E21" s="39"/>
      <c r="F21" s="39"/>
      <c r="G21" s="18"/>
      <c r="H21" s="1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34" t="s">
        <v>35</v>
      </c>
      <c r="B22" s="35">
        <f t="shared" ref="B22:Y22" si="5">IFERROR(10*B23*B25/(B24+1)+10*(B25-1)*((B24+1)/(2*B23)), 2*B26*(2*B25-1))</f>
        <v>0</v>
      </c>
      <c r="C22" s="36">
        <f t="shared" si="5"/>
        <v>0</v>
      </c>
      <c r="D22" s="35">
        <f t="shared" si="5"/>
        <v>0</v>
      </c>
      <c r="E22" s="35">
        <f t="shared" si="5"/>
        <v>0</v>
      </c>
      <c r="F22" s="35">
        <f t="shared" si="5"/>
        <v>0</v>
      </c>
      <c r="G22" s="35">
        <f t="shared" si="5"/>
        <v>0</v>
      </c>
      <c r="H22" s="36">
        <f t="shared" si="5"/>
        <v>0</v>
      </c>
      <c r="I22" s="36">
        <f t="shared" si="5"/>
        <v>0</v>
      </c>
      <c r="J22" s="37">
        <f t="shared" si="5"/>
        <v>0</v>
      </c>
      <c r="K22" s="35">
        <f t="shared" si="5"/>
        <v>0</v>
      </c>
      <c r="L22" s="35">
        <f t="shared" si="5"/>
        <v>0</v>
      </c>
      <c r="M22" s="35">
        <f t="shared" si="5"/>
        <v>0</v>
      </c>
      <c r="N22" s="35">
        <f t="shared" si="5"/>
        <v>0</v>
      </c>
      <c r="O22" s="35">
        <f t="shared" si="5"/>
        <v>0</v>
      </c>
      <c r="P22" s="35">
        <f t="shared" si="5"/>
        <v>0</v>
      </c>
      <c r="Q22" s="35">
        <f t="shared" si="5"/>
        <v>0</v>
      </c>
      <c r="R22" s="35">
        <f t="shared" si="5"/>
        <v>0</v>
      </c>
      <c r="S22" s="35">
        <f t="shared" si="5"/>
        <v>0</v>
      </c>
      <c r="T22" s="36">
        <f t="shared" si="5"/>
        <v>0</v>
      </c>
      <c r="U22" s="35">
        <f t="shared" si="5"/>
        <v>0</v>
      </c>
      <c r="V22" s="35">
        <f t="shared" si="5"/>
        <v>0</v>
      </c>
      <c r="W22" s="35">
        <f t="shared" si="5"/>
        <v>0</v>
      </c>
      <c r="X22" s="35">
        <f t="shared" si="5"/>
        <v>0</v>
      </c>
      <c r="Y22" s="35">
        <f t="shared" si="5"/>
        <v>0</v>
      </c>
    </row>
    <row r="23">
      <c r="A23" s="38" t="s">
        <v>28</v>
      </c>
    </row>
    <row r="24">
      <c r="A24" s="8" t="s">
        <v>29</v>
      </c>
    </row>
    <row r="25">
      <c r="A25" s="8" t="s">
        <v>30</v>
      </c>
      <c r="H25" s="8"/>
    </row>
    <row r="26">
      <c r="A26" s="18" t="s">
        <v>31</v>
      </c>
      <c r="B26" s="18"/>
      <c r="C26" s="18"/>
      <c r="D26" s="18"/>
      <c r="E26" s="39"/>
      <c r="F26" s="39"/>
      <c r="G26" s="18"/>
      <c r="H26" s="1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18"/>
    </row>
    <row r="27">
      <c r="A27" s="34" t="s">
        <v>36</v>
      </c>
      <c r="B27" s="35">
        <f t="shared" ref="B27:Y27" si="6">IFERROR(10*B28*B30/(B29+1)+10*(B30-1)*((B29+1)/(2*B28)), 2*B31*(2*B30-1))</f>
        <v>0</v>
      </c>
      <c r="C27" s="36">
        <f t="shared" si="6"/>
        <v>0</v>
      </c>
      <c r="D27" s="35">
        <f t="shared" si="6"/>
        <v>0</v>
      </c>
      <c r="E27" s="35">
        <f t="shared" si="6"/>
        <v>0</v>
      </c>
      <c r="F27" s="35">
        <f t="shared" si="6"/>
        <v>0</v>
      </c>
      <c r="G27" s="35">
        <f t="shared" si="6"/>
        <v>0</v>
      </c>
      <c r="H27" s="36">
        <f t="shared" si="6"/>
        <v>0</v>
      </c>
      <c r="I27" s="36">
        <f t="shared" si="6"/>
        <v>0</v>
      </c>
      <c r="J27" s="37">
        <f t="shared" si="6"/>
        <v>0</v>
      </c>
      <c r="K27" s="35">
        <f t="shared" si="6"/>
        <v>0</v>
      </c>
      <c r="L27" s="35">
        <f t="shared" si="6"/>
        <v>0</v>
      </c>
      <c r="M27" s="35">
        <f t="shared" si="6"/>
        <v>0</v>
      </c>
      <c r="N27" s="35">
        <f t="shared" si="6"/>
        <v>0</v>
      </c>
      <c r="O27" s="35">
        <f t="shared" si="6"/>
        <v>0</v>
      </c>
      <c r="P27" s="35">
        <f t="shared" si="6"/>
        <v>0</v>
      </c>
      <c r="Q27" s="35">
        <f t="shared" si="6"/>
        <v>0</v>
      </c>
      <c r="R27" s="35">
        <f t="shared" si="6"/>
        <v>0</v>
      </c>
      <c r="S27" s="35">
        <f t="shared" si="6"/>
        <v>0</v>
      </c>
      <c r="T27" s="36">
        <f t="shared" si="6"/>
        <v>0</v>
      </c>
      <c r="U27" s="35">
        <f t="shared" si="6"/>
        <v>0</v>
      </c>
      <c r="V27" s="35">
        <f t="shared" si="6"/>
        <v>0</v>
      </c>
      <c r="W27" s="35">
        <f t="shared" si="6"/>
        <v>0</v>
      </c>
      <c r="X27" s="35">
        <f t="shared" si="6"/>
        <v>0</v>
      </c>
      <c r="Y27" s="35">
        <f t="shared" si="6"/>
        <v>0</v>
      </c>
    </row>
    <row r="28">
      <c r="A28" s="38" t="s">
        <v>28</v>
      </c>
    </row>
    <row r="29">
      <c r="A29" s="8" t="s">
        <v>29</v>
      </c>
    </row>
    <row r="30">
      <c r="A30" s="8" t="s">
        <v>30</v>
      </c>
      <c r="H30" s="8"/>
    </row>
    <row r="31">
      <c r="A31" s="18" t="s">
        <v>31</v>
      </c>
      <c r="B31" s="18"/>
      <c r="C31" s="18"/>
      <c r="D31" s="18"/>
      <c r="E31" s="39"/>
      <c r="F31" s="39"/>
      <c r="G31" s="18"/>
      <c r="H31" s="1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4" t="s">
        <v>37</v>
      </c>
      <c r="B32" s="35">
        <f t="shared" ref="B32:Y32" si="7">IFERROR(10*B33*B35/(B34+1)+10*(B35-1)*((B34+1)/(2*B33)), 2*B36*(2*B35-1))</f>
        <v>0</v>
      </c>
      <c r="C32" s="36">
        <f t="shared" si="7"/>
        <v>0</v>
      </c>
      <c r="D32" s="35">
        <f t="shared" si="7"/>
        <v>0</v>
      </c>
      <c r="E32" s="35">
        <f t="shared" si="7"/>
        <v>0</v>
      </c>
      <c r="F32" s="35">
        <f t="shared" si="7"/>
        <v>0</v>
      </c>
      <c r="G32" s="35">
        <f t="shared" si="7"/>
        <v>0</v>
      </c>
      <c r="H32" s="36">
        <f t="shared" si="7"/>
        <v>0</v>
      </c>
      <c r="I32" s="36">
        <f t="shared" si="7"/>
        <v>0</v>
      </c>
      <c r="J32" s="37">
        <f t="shared" si="7"/>
        <v>0</v>
      </c>
      <c r="K32" s="35">
        <f t="shared" si="7"/>
        <v>0</v>
      </c>
      <c r="L32" s="35">
        <f t="shared" si="7"/>
        <v>0</v>
      </c>
      <c r="M32" s="35">
        <f t="shared" si="7"/>
        <v>0</v>
      </c>
      <c r="N32" s="35">
        <f t="shared" si="7"/>
        <v>0</v>
      </c>
      <c r="O32" s="35">
        <f t="shared" si="7"/>
        <v>0</v>
      </c>
      <c r="P32" s="35">
        <f t="shared" si="7"/>
        <v>0</v>
      </c>
      <c r="Q32" s="35">
        <f t="shared" si="7"/>
        <v>0</v>
      </c>
      <c r="R32" s="35">
        <f t="shared" si="7"/>
        <v>0</v>
      </c>
      <c r="S32" s="35">
        <f t="shared" si="7"/>
        <v>0</v>
      </c>
      <c r="T32" s="36">
        <f t="shared" si="7"/>
        <v>0</v>
      </c>
      <c r="U32" s="35">
        <f t="shared" si="7"/>
        <v>0</v>
      </c>
      <c r="V32" s="35">
        <f t="shared" si="7"/>
        <v>0</v>
      </c>
      <c r="W32" s="35">
        <f t="shared" si="7"/>
        <v>0</v>
      </c>
      <c r="X32" s="35">
        <f t="shared" si="7"/>
        <v>0</v>
      </c>
      <c r="Y32" s="35">
        <f t="shared" si="7"/>
        <v>0</v>
      </c>
    </row>
    <row r="33">
      <c r="A33" s="38" t="s">
        <v>28</v>
      </c>
    </row>
    <row r="34">
      <c r="A34" s="8" t="s">
        <v>29</v>
      </c>
    </row>
    <row r="35">
      <c r="A35" s="8" t="s">
        <v>30</v>
      </c>
      <c r="H35" s="8"/>
    </row>
    <row r="36">
      <c r="A36" s="18" t="s">
        <v>31</v>
      </c>
      <c r="B36" s="18"/>
      <c r="C36" s="18"/>
      <c r="D36" s="18"/>
      <c r="E36" s="39"/>
      <c r="F36" s="39"/>
      <c r="G36" s="18"/>
      <c r="H36" s="1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4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8"/>
    </row>
    <row r="40">
      <c r="A40" s="42"/>
    </row>
    <row r="41">
      <c r="A41" s="8"/>
      <c r="B41" s="8"/>
      <c r="C41" s="8"/>
      <c r="D41" s="8"/>
      <c r="G41" s="8"/>
      <c r="H41" s="8"/>
    </row>
    <row r="42">
      <c r="A42" s="3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8"/>
    </row>
    <row r="45">
      <c r="A45" s="42"/>
    </row>
    <row r="46">
      <c r="A46" s="8"/>
      <c r="B46" s="8"/>
      <c r="C46" s="8"/>
      <c r="D46" s="8"/>
      <c r="G46" s="8"/>
      <c r="H46" s="8"/>
    </row>
    <row r="47">
      <c r="A47" s="3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8"/>
    </row>
    <row r="50">
      <c r="A50" s="42"/>
    </row>
    <row r="51">
      <c r="A51" s="8"/>
      <c r="B51" s="8"/>
      <c r="C51" s="8"/>
      <c r="D51" s="8"/>
      <c r="G51" s="8"/>
      <c r="H51" s="8"/>
    </row>
    <row r="52">
      <c r="A52" s="34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8"/>
    </row>
    <row r="55">
      <c r="A55" s="42"/>
    </row>
    <row r="56">
      <c r="A56" s="8"/>
      <c r="B56" s="8"/>
      <c r="C56" s="8"/>
      <c r="D56" s="8"/>
      <c r="G56" s="8"/>
      <c r="H56" s="8"/>
    </row>
    <row r="57">
      <c r="A57" s="34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8"/>
    </row>
    <row r="60">
      <c r="A60" s="42"/>
    </row>
    <row r="61">
      <c r="A61" s="8"/>
      <c r="B61" s="8"/>
      <c r="C61" s="8"/>
      <c r="D61" s="8"/>
      <c r="G61" s="8"/>
      <c r="H61" s="8"/>
    </row>
    <row r="62">
      <c r="A62" s="3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8"/>
    </row>
    <row r="65">
      <c r="A65" s="42"/>
    </row>
    <row r="66">
      <c r="A66" s="8"/>
      <c r="B66" s="8"/>
      <c r="C66" s="8"/>
      <c r="D66" s="8"/>
      <c r="G66" s="8"/>
      <c r="H66" s="8"/>
    </row>
    <row r="67">
      <c r="A67" s="34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8"/>
    </row>
    <row r="70">
      <c r="A70" s="42"/>
    </row>
    <row r="71">
      <c r="A71" s="8"/>
      <c r="B71" s="8"/>
      <c r="C71" s="8"/>
      <c r="D71" s="8"/>
      <c r="G71" s="8"/>
      <c r="H71" s="8"/>
    </row>
    <row r="72">
      <c r="A72" s="3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8"/>
    </row>
    <row r="75">
      <c r="A75" s="42"/>
    </row>
    <row r="76">
      <c r="A76" s="8"/>
      <c r="B76" s="8"/>
      <c r="C76" s="8"/>
      <c r="D76" s="8"/>
      <c r="G76" s="8"/>
      <c r="H76" s="8"/>
    </row>
    <row r="77">
      <c r="A77" s="3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8"/>
    </row>
    <row r="80">
      <c r="A80" s="42"/>
    </row>
    <row r="81">
      <c r="A81" s="8"/>
      <c r="B81" s="8"/>
      <c r="C81" s="8"/>
      <c r="D81" s="8"/>
      <c r="G81" s="8"/>
      <c r="H81" s="8"/>
    </row>
  </sheetData>
  <conditionalFormatting sqref="A2:Y2 A7:Y7 A12:Y12 A17:Y17 A22:Y22 A27:Y27 A32:Y32 A37:Y37 A42:Y42 A47:Y47 A52:Y52 A57:Y57 A63:Y63 A67:Y67 A72:Y72 A75:Y75 A77:Y77">
    <cfRule type="cellIs" dxfId="1" priority="1" operator="lessThan">
      <formula>0</formula>
    </cfRule>
  </conditionalFormatting>
  <conditionalFormatting sqref="A2:Y2 A7:Y7 A12:Y12 A17:Y17 A22:Y22 A27:Y27 A32:Y32 A37:Y37 A42:Y42 A47:Y47 A52:Y52 A57:Y57 A62:Y62 A67:Y67 A72:Y72 A77:Y77">
    <cfRule type="cellIs" dxfId="2" priority="2" operator="greaterThan">
      <formula>0</formula>
    </cfRule>
  </conditionalFormatting>
  <conditionalFormatting sqref="A2:Y2 A7:Y7 A12:Y12 A17:Y17 A22:Y22 A27:Y27 A32:Y32 A37:Y37 A42:Y42 A47:Y47 A52:Y52 A57:Y57 A62:Y63 A67:Y67 A72:Y72 A75:Y75 A77:Y77">
    <cfRule type="cellIs" dxfId="3" priority="3" operator="equal">
      <formula>0</formula>
    </cfRule>
  </conditionalFormatting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3" max="3" width="19.13"/>
  </cols>
  <sheetData>
    <row r="2">
      <c r="A2" s="4" t="s">
        <v>38</v>
      </c>
      <c r="B2" s="42" t="str">
        <f>'Total Score'!B1</f>
        <v>Llama</v>
      </c>
      <c r="C2" s="42" t="str">
        <f>'Total Score'!C1</f>
        <v>Nic</v>
      </c>
      <c r="D2" s="42" t="str">
        <f>'Total Score'!D1</f>
        <v>Taank</v>
      </c>
      <c r="E2" s="42" t="str">
        <f>'Total Score'!E1</f>
        <v>Elephant</v>
      </c>
      <c r="F2" s="42" t="str">
        <f>'Total Score'!F1</f>
        <v>Jorg</v>
      </c>
      <c r="G2" s="42" t="str">
        <f>'Total Score'!G1</f>
        <v>Deadlock</v>
      </c>
      <c r="H2" s="42" t="str">
        <f>'Total Score'!H1</f>
        <v>Veil</v>
      </c>
      <c r="I2" s="42" t="str">
        <f>'Total Score'!I1</f>
        <v>Arch</v>
      </c>
      <c r="J2" s="42" t="str">
        <f>'Total Score'!J1</f>
        <v>Winter</v>
      </c>
      <c r="K2" s="42" t="str">
        <f>'Total Score'!K1</f>
        <v/>
      </c>
      <c r="L2" s="42" t="str">
        <f>'Total Score'!L1</f>
        <v/>
      </c>
      <c r="M2" s="42" t="str">
        <f>'Total Score'!M1</f>
        <v/>
      </c>
      <c r="N2" s="42" t="str">
        <f>'Total Score'!N1</f>
        <v/>
      </c>
      <c r="O2" s="42" t="str">
        <f>'Total Score'!O1</f>
        <v/>
      </c>
      <c r="P2" s="42" t="str">
        <f>'Total Score'!P1</f>
        <v/>
      </c>
      <c r="Q2" s="42" t="str">
        <f>'Total Score'!Q1</f>
        <v/>
      </c>
      <c r="R2" s="42" t="str">
        <f>'Total Score'!R1</f>
        <v/>
      </c>
      <c r="S2" s="42" t="str">
        <f>'Total Score'!S1</f>
        <v/>
      </c>
      <c r="T2" s="42" t="str">
        <f>'Total Score'!T1</f>
        <v/>
      </c>
      <c r="U2" s="42" t="str">
        <f>'Total Score'!U1</f>
        <v/>
      </c>
      <c r="V2" s="42" t="str">
        <f>'Total Score'!V1</f>
        <v/>
      </c>
      <c r="W2" s="42" t="str">
        <f>'Total Score'!W1</f>
        <v/>
      </c>
      <c r="X2" s="42" t="str">
        <f>'Total Score'!X1</f>
        <v/>
      </c>
      <c r="Y2" s="42" t="str">
        <f>'Total Score'!Y1</f>
        <v/>
      </c>
    </row>
    <row r="3">
      <c r="B3" s="41">
        <f>'Total Score'!B15</f>
        <v>41.1</v>
      </c>
      <c r="C3" s="41">
        <f>'Total Score'!C15</f>
        <v>62.83</v>
      </c>
      <c r="D3" s="41">
        <f>'Total Score'!D15</f>
        <v>8.89</v>
      </c>
      <c r="E3" s="41">
        <f>'Total Score'!E15</f>
        <v>-10</v>
      </c>
      <c r="F3" s="41">
        <f>'Total Score'!F15</f>
        <v>-16.2</v>
      </c>
      <c r="G3" s="41">
        <f>'Total Score'!G15</f>
        <v>-8.64</v>
      </c>
      <c r="H3" s="41">
        <f>'Total Score'!H15</f>
        <v>53.26</v>
      </c>
      <c r="I3" s="41">
        <f>'Total Score'!I15</f>
        <v>-8.39</v>
      </c>
      <c r="J3" s="41">
        <f>'Total Score'!J15</f>
        <v>-0.53</v>
      </c>
      <c r="K3" s="41">
        <f>'Total Score'!K15</f>
        <v>0</v>
      </c>
      <c r="L3" s="41">
        <f>'Total Score'!L15</f>
        <v>0</v>
      </c>
      <c r="M3" s="41">
        <f>'Total Score'!M15</f>
        <v>0</v>
      </c>
      <c r="N3" s="41">
        <f>'Total Score'!N15</f>
        <v>0</v>
      </c>
      <c r="O3" s="41">
        <f>'Total Score'!O15</f>
        <v>0</v>
      </c>
      <c r="P3" s="41">
        <f>'Total Score'!P15</f>
        <v>0</v>
      </c>
      <c r="Q3" s="41">
        <f>'Total Score'!Q15</f>
        <v>0</v>
      </c>
      <c r="R3" s="41">
        <f>'Total Score'!R15</f>
        <v>0</v>
      </c>
      <c r="S3" s="41">
        <f>'Total Score'!S15</f>
        <v>0</v>
      </c>
      <c r="T3" s="41">
        <f>'Total Score'!T15</f>
        <v>0</v>
      </c>
      <c r="U3" s="41">
        <f>'Total Score'!U15</f>
        <v>0</v>
      </c>
      <c r="V3" s="41">
        <f>'Total Score'!V15</f>
        <v>0</v>
      </c>
      <c r="W3" s="41">
        <f>'Total Score'!W15</f>
        <v>0</v>
      </c>
      <c r="X3" s="41">
        <f>'Total Score'!X15</f>
        <v>0</v>
      </c>
      <c r="Y3" s="41">
        <f>'Total Score'!Y15</f>
        <v>0</v>
      </c>
    </row>
    <row r="4">
      <c r="B4" s="34">
        <f t="shared" ref="B4:Y4" si="1">IF(B3 = 0,IFERROR(1/0,""),B3)</f>
        <v>41.1</v>
      </c>
      <c r="C4" s="34">
        <f t="shared" si="1"/>
        <v>62.83</v>
      </c>
      <c r="D4" s="34">
        <f t="shared" si="1"/>
        <v>8.89</v>
      </c>
      <c r="E4" s="34">
        <f t="shared" si="1"/>
        <v>-10</v>
      </c>
      <c r="F4" s="34">
        <f t="shared" si="1"/>
        <v>-16.2</v>
      </c>
      <c r="G4" s="34">
        <f t="shared" si="1"/>
        <v>-8.64</v>
      </c>
      <c r="H4" s="34">
        <f t="shared" si="1"/>
        <v>53.26</v>
      </c>
      <c r="I4" s="34">
        <f t="shared" si="1"/>
        <v>-8.39</v>
      </c>
      <c r="J4" s="34">
        <f t="shared" si="1"/>
        <v>-0.53</v>
      </c>
      <c r="K4" s="8" t="str">
        <f t="shared" si="1"/>
        <v/>
      </c>
      <c r="L4" s="8" t="str">
        <f t="shared" si="1"/>
        <v/>
      </c>
      <c r="M4" s="8" t="str">
        <f t="shared" si="1"/>
        <v/>
      </c>
      <c r="N4" s="8" t="str">
        <f t="shared" si="1"/>
        <v/>
      </c>
      <c r="O4" s="8" t="str">
        <f t="shared" si="1"/>
        <v/>
      </c>
      <c r="P4" s="8" t="str">
        <f t="shared" si="1"/>
        <v/>
      </c>
      <c r="Q4" s="8" t="str">
        <f t="shared" si="1"/>
        <v/>
      </c>
      <c r="R4" s="8" t="str">
        <f t="shared" si="1"/>
        <v/>
      </c>
      <c r="S4" s="8" t="str">
        <f t="shared" si="1"/>
        <v/>
      </c>
      <c r="T4" s="8" t="str">
        <f t="shared" si="1"/>
        <v/>
      </c>
      <c r="U4" s="8" t="str">
        <f t="shared" si="1"/>
        <v/>
      </c>
      <c r="V4" s="8" t="str">
        <f t="shared" si="1"/>
        <v/>
      </c>
      <c r="W4" s="8" t="str">
        <f t="shared" si="1"/>
        <v/>
      </c>
      <c r="X4" s="8" t="str">
        <f t="shared" si="1"/>
        <v/>
      </c>
      <c r="Y4" s="8" t="str">
        <f t="shared" si="1"/>
        <v/>
      </c>
    </row>
    <row r="5">
      <c r="A5" s="4" t="s">
        <v>39</v>
      </c>
      <c r="B5" s="42" t="str">
        <f t="array" ref="B5:AS6">TRANSPOSE(C9:D52)</f>
        <v>Nic</v>
      </c>
      <c r="C5" s="42" t="s">
        <v>10</v>
      </c>
      <c r="D5" s="42" t="s">
        <v>4</v>
      </c>
      <c r="E5" s="41" t="s">
        <v>6</v>
      </c>
      <c r="F5" s="41" t="s">
        <v>12</v>
      </c>
      <c r="G5" s="42" t="s">
        <v>11</v>
      </c>
      <c r="H5" s="42" t="s">
        <v>9</v>
      </c>
      <c r="I5" s="42" t="s">
        <v>7</v>
      </c>
      <c r="J5" s="42" t="s">
        <v>8</v>
      </c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>
      <c r="B6" s="41">
        <v>62.83</v>
      </c>
      <c r="C6" s="41">
        <v>53.260000000000005</v>
      </c>
      <c r="D6" s="41">
        <v>41.1</v>
      </c>
      <c r="E6" s="41">
        <v>8.89</v>
      </c>
      <c r="F6" s="41">
        <v>-0.5299999999999994</v>
      </c>
      <c r="G6" s="41">
        <v>-8.39</v>
      </c>
      <c r="H6" s="41">
        <v>-8.64</v>
      </c>
      <c r="I6" s="41">
        <v>-10.0</v>
      </c>
      <c r="J6" s="41">
        <v>-16.2</v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8">
      <c r="A8" s="4" t="s">
        <v>40</v>
      </c>
      <c r="C8" s="4" t="s">
        <v>41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6" t="str">
        <f t="array" ref="A9:A33">TRANSPOSE(B2:Z2)</f>
        <v>Llama</v>
      </c>
      <c r="B9" s="41">
        <f t="array" ref="B9:B33">TRANSPOSE(B4:Z4)</f>
        <v>41.1</v>
      </c>
      <c r="C9" s="42" t="str">
        <f t="array" ref="C9:D52">SORT(A9:B52,2,FALSE)</f>
        <v>Nic</v>
      </c>
      <c r="D9" s="41">
        <v>62.83</v>
      </c>
      <c r="E9" s="41"/>
      <c r="F9" s="41"/>
    </row>
    <row r="10">
      <c r="A10" s="42" t="s">
        <v>5</v>
      </c>
      <c r="B10" s="41">
        <v>62.83</v>
      </c>
      <c r="C10" s="42" t="s">
        <v>10</v>
      </c>
      <c r="D10" s="41">
        <v>53.260000000000005</v>
      </c>
    </row>
    <row r="11">
      <c r="A11" s="42" t="s">
        <v>6</v>
      </c>
      <c r="B11" s="41">
        <v>8.89</v>
      </c>
      <c r="C11" s="42" t="s">
        <v>4</v>
      </c>
      <c r="D11" s="41">
        <v>41.1</v>
      </c>
    </row>
    <row r="12">
      <c r="A12" s="42" t="s">
        <v>7</v>
      </c>
      <c r="B12" s="41">
        <v>-10.0</v>
      </c>
      <c r="C12" s="41" t="s">
        <v>6</v>
      </c>
      <c r="D12" s="41">
        <v>8.89</v>
      </c>
    </row>
    <row r="13">
      <c r="A13" s="42" t="s">
        <v>8</v>
      </c>
      <c r="B13" s="41">
        <v>-16.2</v>
      </c>
      <c r="C13" s="41" t="s">
        <v>12</v>
      </c>
      <c r="D13" s="41">
        <v>-0.5299999999999994</v>
      </c>
    </row>
    <row r="14">
      <c r="A14" s="42" t="s">
        <v>9</v>
      </c>
      <c r="B14" s="41">
        <v>-8.64</v>
      </c>
      <c r="C14" s="42" t="s">
        <v>11</v>
      </c>
      <c r="D14" s="41">
        <v>-8.39</v>
      </c>
    </row>
    <row r="15">
      <c r="A15" s="42" t="s">
        <v>10</v>
      </c>
      <c r="B15" s="41">
        <v>53.260000000000005</v>
      </c>
      <c r="C15" s="42" t="s">
        <v>9</v>
      </c>
      <c r="D15" s="41">
        <v>-8.64</v>
      </c>
    </row>
    <row r="16">
      <c r="A16" s="42" t="s">
        <v>11</v>
      </c>
      <c r="B16" s="41">
        <v>-8.39</v>
      </c>
      <c r="C16" s="42" t="s">
        <v>7</v>
      </c>
      <c r="D16" s="41">
        <v>-10.0</v>
      </c>
    </row>
    <row r="17">
      <c r="A17" s="42" t="s">
        <v>12</v>
      </c>
      <c r="B17" s="41">
        <v>-0.5299999999999994</v>
      </c>
      <c r="C17" s="42" t="s">
        <v>8</v>
      </c>
      <c r="D17" s="41">
        <v>-16.2</v>
      </c>
    </row>
    <row r="18">
      <c r="A18" s="42"/>
      <c r="B18" s="42"/>
      <c r="C18" s="42"/>
      <c r="D18" s="42"/>
    </row>
    <row r="19">
      <c r="A19" s="42"/>
      <c r="B19" s="42"/>
      <c r="C19" s="42"/>
      <c r="D19" s="42"/>
    </row>
    <row r="20">
      <c r="A20" s="42"/>
      <c r="B20" s="42"/>
      <c r="C20" s="42"/>
      <c r="D20" s="42"/>
    </row>
    <row r="21">
      <c r="A21" s="42"/>
      <c r="B21" s="42"/>
      <c r="C21" s="42"/>
      <c r="D21" s="42"/>
    </row>
    <row r="22">
      <c r="A22" s="42"/>
      <c r="B22" s="42"/>
      <c r="C22" s="42"/>
      <c r="D22" s="42"/>
    </row>
    <row r="23">
      <c r="A23" s="42"/>
      <c r="B23" s="42"/>
      <c r="C23" s="42"/>
      <c r="D23" s="42"/>
    </row>
    <row r="24">
      <c r="A24" s="42"/>
      <c r="B24" s="42"/>
      <c r="C24" s="42"/>
      <c r="D24" s="42"/>
    </row>
    <row r="25">
      <c r="A25" s="42"/>
      <c r="B25" s="42"/>
      <c r="C25" s="42"/>
      <c r="D25" s="42"/>
    </row>
    <row r="26">
      <c r="A26" s="42"/>
      <c r="B26" s="42"/>
      <c r="C26" s="42"/>
      <c r="D26" s="42"/>
    </row>
    <row r="27">
      <c r="A27" s="42"/>
      <c r="B27" s="42"/>
      <c r="C27" s="42"/>
      <c r="D27" s="42"/>
    </row>
    <row r="28">
      <c r="A28" s="42"/>
      <c r="B28" s="42"/>
      <c r="C28" s="42"/>
      <c r="D28" s="42"/>
    </row>
    <row r="29">
      <c r="A29" s="42"/>
      <c r="B29" s="42"/>
      <c r="C29" s="42"/>
      <c r="D29" s="42"/>
    </row>
    <row r="30">
      <c r="A30" s="42"/>
      <c r="B30" s="42"/>
      <c r="C30" s="42"/>
      <c r="D30" s="42"/>
    </row>
    <row r="31">
      <c r="A31" s="42"/>
      <c r="B31" s="42"/>
      <c r="C31" s="42"/>
      <c r="D31" s="42"/>
    </row>
    <row r="32">
      <c r="A32" s="42"/>
      <c r="B32" s="42"/>
      <c r="C32" s="42"/>
      <c r="D32" s="42"/>
    </row>
    <row r="33">
      <c r="A33" s="42"/>
      <c r="B33" s="42"/>
      <c r="C33" s="42"/>
      <c r="D33" s="42"/>
    </row>
    <row r="34">
      <c r="C34" s="42"/>
      <c r="D34" s="42"/>
    </row>
    <row r="35">
      <c r="C35" s="42"/>
      <c r="D35" s="42"/>
    </row>
    <row r="36">
      <c r="C36" s="42"/>
      <c r="D36" s="42"/>
    </row>
    <row r="37">
      <c r="C37" s="42"/>
      <c r="D37" s="42"/>
    </row>
    <row r="38">
      <c r="C38" s="42"/>
      <c r="D38" s="42"/>
    </row>
    <row r="39">
      <c r="C39" s="42"/>
      <c r="D39" s="42"/>
    </row>
    <row r="40">
      <c r="C40" s="42"/>
      <c r="D40" s="42"/>
    </row>
    <row r="41">
      <c r="C41" s="42"/>
      <c r="D41" s="42"/>
    </row>
    <row r="42">
      <c r="C42" s="42"/>
      <c r="D42" s="42"/>
    </row>
    <row r="43">
      <c r="C43" s="42"/>
      <c r="D43" s="42"/>
    </row>
    <row r="44">
      <c r="C44" s="42"/>
      <c r="D44" s="42"/>
    </row>
    <row r="45">
      <c r="C45" s="42"/>
      <c r="D45" s="42"/>
    </row>
    <row r="46">
      <c r="C46" s="42"/>
      <c r="D46" s="42"/>
    </row>
    <row r="47">
      <c r="C47" s="42"/>
      <c r="D47" s="42"/>
    </row>
    <row r="48">
      <c r="C48" s="42"/>
      <c r="D48" s="42"/>
    </row>
    <row r="49">
      <c r="C49" s="42"/>
      <c r="D49" s="42"/>
    </row>
    <row r="50">
      <c r="C50" s="42"/>
      <c r="D50" s="42"/>
    </row>
    <row r="51">
      <c r="C51" s="42"/>
      <c r="D51" s="42"/>
    </row>
    <row r="52">
      <c r="C52" s="42"/>
      <c r="D52" s="42"/>
    </row>
  </sheetData>
  <drawing r:id="rId1"/>
</worksheet>
</file>